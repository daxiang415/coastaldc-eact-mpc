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jorda\Documents\FromGao\DataCenter_CoastalCenters\"/>
    </mc:Choice>
  </mc:AlternateContent>
  <xr:revisionPtr revIDLastSave="0" documentId="13_ncr:1_{435040EB-38E1-45BB-9A58-1903471B55AF}" xr6:coauthVersionLast="47" xr6:coauthVersionMax="47" xr10:uidLastSave="{00000000-0000-0000-0000-000000000000}"/>
  <bookViews>
    <workbookView xWindow="28680" yWindow="-120" windowWidth="38640" windowHeight="21120" activeTab="5" xr2:uid="{8F58847E-69FB-4BFA-8C00-4C0DBE94377A}"/>
  </bookViews>
  <sheets>
    <sheet name="Electricity" sheetId="1" r:id="rId1"/>
    <sheet name="Carbon Prices" sheetId="3" r:id="rId2"/>
    <sheet name="Carbon Pricing Sensitivity" sheetId="5" r:id="rId3"/>
    <sheet name="Sewater Cooling References" sheetId="6" r:id="rId4"/>
    <sheet name="Offshore Wind" sheetId="7" r:id="rId5"/>
    <sheet name="Discount rates - useful note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2" i="3" l="1"/>
  <c r="D21" i="3"/>
  <c r="D20" i="3"/>
  <c r="D19" i="3"/>
  <c r="D18" i="3"/>
  <c r="D17" i="3"/>
  <c r="D15" i="3"/>
  <c r="D14" i="3"/>
  <c r="D13" i="3"/>
  <c r="D12" i="3"/>
  <c r="D11" i="3"/>
  <c r="D10" i="3"/>
  <c r="D9" i="3"/>
  <c r="C29" i="1"/>
  <c r="C27" i="1"/>
  <c r="C23" i="1"/>
  <c r="C21" i="1"/>
  <c r="C19" i="1"/>
  <c r="C15" i="1"/>
  <c r="C13" i="1"/>
  <c r="C5" i="1"/>
  <c r="C3" i="1"/>
</calcChain>
</file>

<file path=xl/sharedStrings.xml><?xml version="1.0" encoding="utf-8"?>
<sst xmlns="http://schemas.openxmlformats.org/spreadsheetml/2006/main" count="435" uniqueCount="284">
  <si>
    <t>Country</t>
  </si>
  <si>
    <t>China</t>
  </si>
  <si>
    <t>Japan</t>
  </si>
  <si>
    <t>Australia</t>
  </si>
  <si>
    <t>Norway</t>
  </si>
  <si>
    <t>India</t>
  </si>
  <si>
    <t>Portugal</t>
  </si>
  <si>
    <t>Malaysia</t>
  </si>
  <si>
    <t>United Kingdom</t>
  </si>
  <si>
    <t>Singapore</t>
  </si>
  <si>
    <t>South Korea</t>
  </si>
  <si>
    <t>Indonesia</t>
  </si>
  <si>
    <t>Netherlands</t>
  </si>
  <si>
    <t>Ireland</t>
  </si>
  <si>
    <t>Canada</t>
  </si>
  <si>
    <t>United States of America</t>
  </si>
  <si>
    <t>Electricity Price</t>
  </si>
  <si>
    <t>Discount rates:</t>
  </si>
  <si>
    <t>US OMB 2026 -</t>
  </si>
  <si>
    <t>https://www.whitehouse.gov/omb/information-resources/guidance/circulars/</t>
  </si>
  <si>
    <t>Circular A-94 and its appendices, primarily Appendix C ( https://www.whitehouse.gov/wp-content/uploads/2026/03/CircularA-94Appendix-C.pdf )</t>
  </si>
  <si>
    <t>nominal and real interest rates for discounting over 3, 5, 7, 10, 20, and 30 year time horizons</t>
  </si>
  <si>
    <r>
      <t xml:space="preserve">Designed for </t>
    </r>
    <r>
      <rPr>
        <b/>
        <sz val="11"/>
        <color theme="1"/>
        <rFont val="Aptos Narrow"/>
        <family val="2"/>
        <scheme val="minor"/>
      </rPr>
      <t>US Federal projects and investments</t>
    </r>
    <r>
      <rPr>
        <sz val="11"/>
        <color theme="1"/>
        <rFont val="Aptos Narrow"/>
        <family val="2"/>
        <scheme val="minor"/>
      </rPr>
      <t>, not private developments</t>
    </r>
  </si>
  <si>
    <t>https://doi.org/10.1006/jeem.1998.1052</t>
  </si>
  <si>
    <t>Weitzman here lays out (in 1998) the central argument for low- or zero discount rate approaches for future events, based on moral argument</t>
  </si>
  <si>
    <t>Bunch of other refs saved to Zotero</t>
  </si>
  <si>
    <t xml:space="preserve">US NASEM social cost of carbon report: </t>
  </si>
  <si>
    <t>https://www.nationalacademies.org/read/24651/chapter/1</t>
  </si>
  <si>
    <t>0.0744 (EUR/kWh)</t>
  </si>
  <si>
    <t>Source: EUROSTAT non-household consumer prices 2025 https://ec.europa.eu/eurostat/databrowser/view/nrg_pc_205__custom_21205292/bookmark/table?lang=en&amp;bookmarkId=2ac7c04b-496b-4947-9142-91db58d01e7c&amp;c=1777363404000 ; reporting using the tax-excluded values</t>
  </si>
  <si>
    <t>0.1133 (EUR/kWh)</t>
  </si>
  <si>
    <t>0.1609 (EUR/kWh)</t>
  </si>
  <si>
    <t>0.2478 (EUR/kWh)</t>
  </si>
  <si>
    <t>Year of Elec. Price</t>
  </si>
  <si>
    <t>Source: India Climate and Energy Dashboard, https://iced.niti.gov.in/energy/electricity/distribution/pages/consumer-profile#average-billing-rate -- database has state-level data</t>
  </si>
  <si>
    <t>See source link; we'll need to select values. Commercial business rates are about 20.58 yen/kWh summer, 19.42 yen/kWh other seasons</t>
  </si>
  <si>
    <t>TEPCO source: https://www.tepco.co.jp/en/ep/about/newsroom/press/archives/2023/pdf/230927e0202.pdf - extra high voltage, high voltage, and business rates; which do we want to apply? Rate listed above is "Business power", p.10/13.</t>
  </si>
  <si>
    <t>Source: https://energy-information.canada.ca/en/subjects/electricity "Other industries" prices (agriculture, mining and manufacturing, residential, overall averages also available). National average. Provincial values available.</t>
  </si>
  <si>
    <t>$0.1138 CAD/kWh</t>
  </si>
  <si>
    <t>$0.36 AUD/kWh</t>
  </si>
  <si>
    <t>Source: https://energycouncil.com.au/oecd-price-comparison-how-do-we-stack-up/ Business council; data comparison across OECD for Australian context, but provides average business prices.</t>
  </si>
  <si>
    <t>$78.14 USD/MWh</t>
  </si>
  <si>
    <t>Source: https://www.global-climatescope.org/markets/indonesia Global Climatescope gets their data from Bloomberg New Energy Finance and has the most up-to-date and sector-specific prices for Indonesia I can find in English. Has many other non-Western markets, so sourcing multiple times.</t>
  </si>
  <si>
    <t>$55.65 USD/MWh</t>
  </si>
  <si>
    <t>Source: Global climatescope (BNEF), see Indonesia ref</t>
  </si>
  <si>
    <t>$113.71 USD/MWh</t>
  </si>
  <si>
    <t>$188.06 USD/MWh</t>
  </si>
  <si>
    <t>2024-2025; 2024 for climatescope</t>
  </si>
  <si>
    <t>Commercial: 10.35 Rs/kWh from India Climate and Energy Dashboard; $106.95 USD/MWh from Global Climatescope</t>
  </si>
  <si>
    <t>172.99 KRW/kWh</t>
  </si>
  <si>
    <t>Source: https://www.keei.re.kr/boardDownload.es?bid=0033&amp;list_no=127531&amp;seq=1 Korean Energy Economics Institute annual energy statisticis yearbook. Table "10. 계약종별 판매 단가 및 판매 수입", page 162 of the linked PDF. "Public/Service" rate reported.</t>
  </si>
  <si>
    <t>Source: https://www.gov.uk/government/statistical-data-sets/gas-and-electricity-prices-in-the-non-domestic-sector downloadable data for non-domestic (household) rates. "Average" column used from "Annual excl. CCL" pricing, 2025 provisional data.</t>
  </si>
  <si>
    <t>0.2381 GBP/kWh</t>
  </si>
  <si>
    <t>$0.1275 USD/kWh</t>
  </si>
  <si>
    <t>USD equivalent price ($/MWh)</t>
  </si>
  <si>
    <t>Source: EIA, https://www.eia.gov/electricity/data.php#sales - "Annual retail price" download, by sector, state, and provider. Commercial price reported, national level. State level data is available for all 50 states.</t>
  </si>
  <si>
    <t>Note: All exchange rates taken from World Bank Open Data Official Exchange Rate values (LCU per USD)</t>
  </si>
  <si>
    <t>https://data.worldbank.org/indicator/PA.NUS.FCRF</t>
  </si>
  <si>
    <t>Currency exchange rates (LCU/$USD 2024)</t>
  </si>
  <si>
    <t>direct reported in USD</t>
  </si>
  <si>
    <t>direct reported in USD; however, 2024-2025 figure from ICED gives $123.70 USD/MWh</t>
  </si>
  <si>
    <t>Direct reported in USD</t>
  </si>
  <si>
    <t>As there are summer and off-summer rates I assumed summer is June/July/Aug/Sept and calculated an "average" business rate of (20.58 * 0.33 + 19.42 * 0.67) = 19.807 yen/kWh, then adjusted</t>
  </si>
  <si>
    <t>Source: EUROSTAT non-household consumer prices 2025 https://ec.europa.eu/eurostat/databrowser/view/nrg_pc_205__custom_21205292/bookmark/table?lang=en&amp;bookmarkId=2ac7c04b-496b-4947-9142-91db58d01e7c&amp;c=1777363404000 ; reporting using the tax-excluded values. Reported in EUR despite Norway having independent currency.</t>
  </si>
  <si>
    <t>Because EUROSTAT reports prices in Euro, have used Euro exchange rate instead of Norwegian kronur</t>
  </si>
  <si>
    <t>Effective Carbon Price (local currency/tonne CO2e)</t>
  </si>
  <si>
    <t>Effective Carbon Price (USD/tonne)</t>
  </si>
  <si>
    <t>Data sources: there are two reputable databases of interest here. The OECD and World Bank. (refs below)</t>
  </si>
  <si>
    <t>Data year</t>
  </si>
  <si>
    <t>For simple national level data, the OECD database is cleanest, but its most recent reported data year is 2023.</t>
  </si>
  <si>
    <t>The World Bank offers more comprehensive data through 2026, but reports multiple taxes separately without a united figure for some countries.</t>
  </si>
  <si>
    <t>OECD data is available from this link:</t>
  </si>
  <si>
    <t xml:space="preserve">World Bank data is available from this link: </t>
  </si>
  <si>
    <t xml:space="preserve">https://data-explorer.oecd.org/vis?lc=en&amp;fs[0]=Topic,1%7CTaxation%23TAX%23%7CTax%20and%20environment%23TAX_ENV%23&amp;pg=0&amp;fc=Topic&amp;bp=true&amp;snb=7&amp;df[ds]=dsDisseminateFinalDMZ&amp;df[id]=DSD_NECR%40DF_NECRS&amp;df[ag]=OECD.CTP.TPS&amp;dq=._T._T....MEANW.Q.A&amp;lom=LASTNPERIODS&amp;lo=1&amp;to[TIME_PERIOD]=false&amp;vw=tb </t>
  </si>
  <si>
    <t xml:space="preserve">https://carbonpricingdashboard.worldbank.org/about#download-data </t>
  </si>
  <si>
    <t xml:space="preserve">For this table, I am reporting the Effective Carbon Rate column (5th) from the OECD table linked above, as it is the simplest and cleanest combined measure. </t>
  </si>
  <si>
    <t>Carbon Pricing Mechanism(s)</t>
  </si>
  <si>
    <t>Fuel excise tax + ETS</t>
  </si>
  <si>
    <t>Conversions to USD calculated from World Bank data, see Electricity sheet for ref</t>
  </si>
  <si>
    <t>Fuel excise tax + Carbon tax + ETS</t>
  </si>
  <si>
    <t>Fuel excise tax</t>
  </si>
  <si>
    <t>none</t>
  </si>
  <si>
    <t>no national pricing scheme, see notes below</t>
  </si>
  <si>
    <t>Regarding the US:</t>
  </si>
  <si>
    <t>There is no national carbon pricing mechanism, but there is a national fuel excise tax for managing environmental pollution, roads, and leaking fuel tanks.</t>
  </si>
  <si>
    <t>The EIA provides recent figures.</t>
  </si>
  <si>
    <t>n/a</t>
  </si>
  <si>
    <t>https://www.eia.gov/tools/faqs/faq.php?id=10&amp;t=5</t>
  </si>
  <si>
    <t>We could back-calculate these to minimal prices per tonne and average them for gasoline and diesel if desired.</t>
  </si>
  <si>
    <t>The World Bank data provides state level pricing mechanisms and histories for sensitivity checks if we want to do those instead.</t>
  </si>
  <si>
    <t>Exception is Norway, as OECD gave price in kronur, so $1 USD = 10.75 kronur used</t>
  </si>
  <si>
    <t>World bank data is used for the Carbon Pricing Sensitivity sheet</t>
  </si>
  <si>
    <t>This is based on the World Bank data which gives carbon prices from 1990 to 2026.</t>
  </si>
  <si>
    <t>Subnational units are broken out where applicable, as are specific years of relevant data</t>
  </si>
  <si>
    <t>Australia CPM</t>
  </si>
  <si>
    <t>Reason for year if not 2026</t>
  </si>
  <si>
    <t>Program ended</t>
  </si>
  <si>
    <t>Australia Safeguard Mechanism</t>
  </si>
  <si>
    <t>Effective Carbon Price (USD/tonne CO2e)</t>
  </si>
  <si>
    <t>Alberta carbon tax</t>
  </si>
  <si>
    <t>Alberta TIER</t>
  </si>
  <si>
    <t>BC carbon tax</t>
  </si>
  <si>
    <t>BC OBPS</t>
  </si>
  <si>
    <t xml:space="preserve">OBPS = Output Based Pricing System </t>
  </si>
  <si>
    <t>Canada federal fuel charge</t>
  </si>
  <si>
    <t>Canada federal OBPS</t>
  </si>
  <si>
    <t>TIER = technology innovation and emission reduction</t>
  </si>
  <si>
    <t>New Brunswick carbon tax</t>
  </si>
  <si>
    <t>New Brunswick OBPS</t>
  </si>
  <si>
    <t>Newfoundland and Labrador carbon tax</t>
  </si>
  <si>
    <t>Newfoundland and Labrador PSS</t>
  </si>
  <si>
    <t>Northwest Territories carbon tax</t>
  </si>
  <si>
    <t>Nova Scotia OBPS</t>
  </si>
  <si>
    <t>Ontario CaT</t>
  </si>
  <si>
    <t>Ontario EPS</t>
  </si>
  <si>
    <t>Prince Edward Island Carbon Tax</t>
  </si>
  <si>
    <t>Quebec CaT</t>
  </si>
  <si>
    <t>Saskatchewan OBPS</t>
  </si>
  <si>
    <t>program ended</t>
  </si>
  <si>
    <t>not stated</t>
  </si>
  <si>
    <t>Notes-1</t>
  </si>
  <si>
    <t>Notes-2</t>
  </si>
  <si>
    <t>For all Canada options:</t>
  </si>
  <si>
    <r>
      <t xml:space="preserve">Note that the </t>
    </r>
    <r>
      <rPr>
        <b/>
        <sz val="11"/>
        <color theme="1"/>
        <rFont val="Aptos Narrow"/>
        <family val="2"/>
        <scheme val="minor"/>
      </rPr>
      <t>Federal Policies</t>
    </r>
    <r>
      <rPr>
        <sz val="11"/>
        <color theme="1"/>
        <rFont val="Aptos Narrow"/>
        <family val="2"/>
        <scheme val="minor"/>
      </rPr>
      <t xml:space="preserve"> (in bold) are backstops, and apply to all provinces</t>
    </r>
  </si>
  <si>
    <t>From 2025 these policies harmonise and underwrite the others, which is why prices align</t>
  </si>
  <si>
    <t>Provinces with their own tax rule collect the tax provincially and can use it provincially; provinces without send it to the federal government</t>
  </si>
  <si>
    <t>Quebec's Cap and Trade system (linked with California) is charged IN ADDITION TO federal carbon prices</t>
  </si>
  <si>
    <t>Beijing pilot ETS</t>
  </si>
  <si>
    <t>China national ETS</t>
  </si>
  <si>
    <t>Chongqing pilot ETS</t>
  </si>
  <si>
    <t>Fujian pilot ETS</t>
  </si>
  <si>
    <t>Guangdong pilot ETS</t>
  </si>
  <si>
    <t>Hubei pilot ETS</t>
  </si>
  <si>
    <t>Shanghai pilot ETS</t>
  </si>
  <si>
    <t>Shenzhen pilot ETS</t>
  </si>
  <si>
    <t>Tianjin pilot ETS</t>
  </si>
  <si>
    <t>India ETS</t>
  </si>
  <si>
    <t>Ireland carbon tax</t>
  </si>
  <si>
    <t>Indonesia ETS</t>
  </si>
  <si>
    <t>Japan Carbon Tax</t>
  </si>
  <si>
    <t>no data</t>
  </si>
  <si>
    <t>Netherlands carbon tax</t>
  </si>
  <si>
    <t>European Union</t>
  </si>
  <si>
    <t>EU ETS</t>
  </si>
  <si>
    <t>Could incorporate into EU country data as additional cost, optional</t>
  </si>
  <si>
    <t>Norway Carbon Tax</t>
  </si>
  <si>
    <t>Portugal carbon tax</t>
  </si>
  <si>
    <t>Saitama ETS</t>
  </si>
  <si>
    <t>Tokyo CaT</t>
  </si>
  <si>
    <t>Singapore carbon tax</t>
  </si>
  <si>
    <t>Korea ETS</t>
  </si>
  <si>
    <t>UK Carbon Price Support</t>
  </si>
  <si>
    <t>UK ETS</t>
  </si>
  <si>
    <t>California CaT</t>
  </si>
  <si>
    <t>Colorado GHG crediting trading</t>
  </si>
  <si>
    <t>Massachussetts ETS</t>
  </si>
  <si>
    <t>Minneapolis carbon tax</t>
  </si>
  <si>
    <t>Oregon ETS</t>
  </si>
  <si>
    <t>RGGI (Virginia ghg regs)</t>
  </si>
  <si>
    <t>Washington (state) CCA</t>
  </si>
  <si>
    <t>USD 2026, as that is what the World Bank reports it as</t>
  </si>
  <si>
    <t>Japan has a national ETS listed in the data but it is $0 USD/tonne for all years</t>
  </si>
  <si>
    <t>Simplest option here would be for sensitivity analyses to take the latest year (2026) for each country, then add in specific sub-cases.</t>
  </si>
  <si>
    <t>E.g. in Canada, use the federal backstop value (which applies in all provinces) + consider adder effect of Quebec's separate Cap and Trade costs</t>
  </si>
  <si>
    <t>US state-level policies, China city/region level policies, EU state-level + EU ETS effects</t>
  </si>
  <si>
    <t>In all cases, 2026 values are higher than the 2023 OECD data, though some EU values would need adjustment to incorporate EU ETS.</t>
  </si>
  <si>
    <t>General comments / approach:</t>
  </si>
  <si>
    <t>Seawater cooling / heatpump studies as first sources</t>
  </si>
  <si>
    <t>powerplant cooling values last resort</t>
  </si>
  <si>
    <t>Plan of attack: lit review, see what I can find, see if it's regionally varied or relatively consistent; aim for some usable figures</t>
  </si>
  <si>
    <t xml:space="preserve">DOI: </t>
  </si>
  <si>
    <t>Authors</t>
  </si>
  <si>
    <t>Title</t>
  </si>
  <si>
    <t>Journal</t>
  </si>
  <si>
    <t>Year</t>
  </si>
  <si>
    <t>Note 1</t>
  </si>
  <si>
    <t>Note 2</t>
  </si>
  <si>
    <t>Note 3</t>
  </si>
  <si>
    <t>https://doi.org/10.1016/j.scs.2021.103257</t>
  </si>
  <si>
    <t>Hunt et al.</t>
  </si>
  <si>
    <t>Deep sewater cooling and desalination: Combining seawater air conditiong and desalination</t>
  </si>
  <si>
    <t>Sustainable cities and society</t>
  </si>
  <si>
    <t>Focus is on using seawater cooling to meet air conditioning needs in the Maldives</t>
  </si>
  <si>
    <t>Not data center specific; focus is on meeting domestic needs, but has some figures for infrastructure cost estimates</t>
  </si>
  <si>
    <t>Main interest: Table 4, cost description for cooling technologies and power sources</t>
  </si>
  <si>
    <t>https://doi.org/10.1016/j.energy.2018.10.146</t>
  </si>
  <si>
    <t>Hunt, Byers, and Sanchez</t>
  </si>
  <si>
    <t>Technical potential and cost estimates for seawater air conditioning</t>
  </si>
  <si>
    <t>Energy</t>
  </si>
  <si>
    <t>Global model of potential for sewater air conditioning around the world's coasts</t>
  </si>
  <si>
    <t>Figure 13 is of most interest/relevance: cost estimate of seawater cooling costs for projects in $/kWh of cooling provided</t>
  </si>
  <si>
    <t>ASEAN and Asia-Pacific prices are lowest, hovering between $0.20/kWh and $0.50, but msotly around $0.30/kWh. Some potential also in the Caribbean. High costs in most other regions.</t>
  </si>
  <si>
    <t>PRICE ESTIMATES (where available)</t>
  </si>
  <si>
    <t>https://doi.org/10.1016/j.applthermaleng.2025.129458</t>
  </si>
  <si>
    <t>Chen et al.</t>
  </si>
  <si>
    <t>A dual-purpose seawater evaporation system for data center cooling and freshwater production: design and performance analysis</t>
  </si>
  <si>
    <t>Applied Thermal Engineering</t>
  </si>
  <si>
    <t>Has detailed economic analysis, however, includes freshwater sales; calculates econ parameters around Total Capital Cost and Annual Operations Cost, but this includes desalination equipment</t>
  </si>
  <si>
    <t>We could follow their method to do a non-desalination estimate for seawater cooling but I don't think this gives us the clean number you were asking for</t>
  </si>
  <si>
    <t>Explicitly incorporating freshwater sales changes our analysis</t>
  </si>
  <si>
    <t>https://doi.org/10.1016/j.renene.2025.123567</t>
  </si>
  <si>
    <t>Kumar, Syed, and Annadurai</t>
  </si>
  <si>
    <t>Methodology to analyze the feasibility of deep seawater cooling systems</t>
  </si>
  <si>
    <t>Renewable Energy</t>
  </si>
  <si>
    <t>Full methodology, replicable, everything is sourced</t>
  </si>
  <si>
    <t>Primary cost drivers are pipe, coolers, and similar infra costs</t>
  </si>
  <si>
    <t>$573/kW</t>
  </si>
  <si>
    <t>Specific Total Cost reported is $573 USD/kW, with internal rate of return of 164%. 8 month payback period.</t>
  </si>
  <si>
    <t>Country of estimate</t>
  </si>
  <si>
    <t>Academic sources:</t>
  </si>
  <si>
    <t>Non-academic sources:</t>
  </si>
  <si>
    <t xml:space="preserve">Link: </t>
  </si>
  <si>
    <t>SWAC, district cooling, etc. secondary sources</t>
  </si>
  <si>
    <t>TECH</t>
  </si>
  <si>
    <t>SWAC</t>
  </si>
  <si>
    <t>NO DIRECT SEAWATER DATA CENTER STUDIES COULD BE FOUND THAT REPORTED COSTS; literature summaries below. Note TECH column for classification.</t>
  </si>
  <si>
    <t>Data Centers</t>
  </si>
  <si>
    <t>Available, but see notes. This is not the straightforward cost of cooling you requested.</t>
  </si>
  <si>
    <t>multi</t>
  </si>
  <si>
    <t>global</t>
  </si>
  <si>
    <t>Maldives</t>
  </si>
  <si>
    <t>Focus country</t>
  </si>
  <si>
    <t>multiple, reported in $/kWh_t, by city, globally</t>
  </si>
  <si>
    <t>Global</t>
  </si>
  <si>
    <t>Compares steam and ammonia-based heat exchange mechanisms for SWAC theoretically, with a model, and then global economic cases</t>
  </si>
  <si>
    <r>
      <t>Table 5</t>
    </r>
    <r>
      <rPr>
        <sz val="11"/>
        <color theme="1"/>
        <rFont val="Aptos Narrow"/>
        <family val="2"/>
        <scheme val="minor"/>
      </rPr>
      <t xml:space="preserve"> is the central piece of info to check prices</t>
    </r>
  </si>
  <si>
    <t>https://doi.org/10.1016/j.energy.2022.124359</t>
  </si>
  <si>
    <t>Seawter air-conditioning and ammonia district cooling: A solution for warm coastal regions</t>
  </si>
  <si>
    <t>Analyses district cooling via SWAC in China via a specific case project</t>
  </si>
  <si>
    <t>Provides both NPV and Total Annual Cost estimates</t>
  </si>
  <si>
    <t>Reporting only TAC cost as it's centralised</t>
  </si>
  <si>
    <t>61.8 million RMB/year</t>
  </si>
  <si>
    <t>https://doi.org/10.1016/j.renene.2006.12.015</t>
  </si>
  <si>
    <t>Zhen et al.</t>
  </si>
  <si>
    <t>District cooling and heating with seawater as heat source and sink in Dalian, China</t>
  </si>
  <si>
    <t>SWAC; district cooling</t>
  </si>
  <si>
    <t>(will do when back from Thailand if desired)</t>
  </si>
  <si>
    <r>
      <t xml:space="preserve">N.b. I have reported all values for the countries in the study list from the WB value, but some of these can be reduced to simpler or regional cases due to backstop policies. </t>
    </r>
    <r>
      <rPr>
        <b/>
        <sz val="11"/>
        <color theme="1"/>
        <rFont val="Aptos Narrow"/>
        <family val="2"/>
        <scheme val="minor"/>
      </rPr>
      <t>Bold text highlights suggested prices by country.</t>
    </r>
  </si>
  <si>
    <t>https://doi.org/10.1016/j.renene.2023.119311</t>
  </si>
  <si>
    <t>Youn &amp; Im</t>
  </si>
  <si>
    <t>Assessment of the feasibility for hybrid seawater district cooling model under variable seawater temperature condition: Case study in South Korea</t>
  </si>
  <si>
    <t>Mixed integer linear programming model of performance characteristics for SWAC design</t>
  </si>
  <si>
    <r>
      <t xml:space="preserve">Estimates </t>
    </r>
    <r>
      <rPr>
        <b/>
        <sz val="11"/>
        <color theme="1"/>
        <rFont val="Aptos Narrow"/>
        <family val="2"/>
        <scheme val="minor"/>
      </rPr>
      <t>operating costs</t>
    </r>
    <r>
      <rPr>
        <sz val="11"/>
        <color theme="1"/>
        <rFont val="Aptos Narrow"/>
        <family val="2"/>
        <scheme val="minor"/>
      </rPr>
      <t xml:space="preserve"> (Figure 25) and </t>
    </r>
    <r>
      <rPr>
        <b/>
        <sz val="11"/>
        <color theme="1"/>
        <rFont val="Aptos Narrow"/>
        <family val="2"/>
        <scheme val="minor"/>
      </rPr>
      <t>estimated electricity cost savings compared to baseline cooling scenarios</t>
    </r>
    <r>
      <rPr>
        <sz val="11"/>
        <color theme="1"/>
        <rFont val="Aptos Narrow"/>
        <family val="2"/>
        <scheme val="minor"/>
      </rPr>
      <t xml:space="preserve"> (Table 5), but </t>
    </r>
    <r>
      <rPr>
        <b/>
        <sz val="11"/>
        <color theme="1"/>
        <rFont val="Aptos Narrow"/>
        <family val="2"/>
        <scheme val="minor"/>
      </rPr>
      <t>does not provide a levelized or annualized cost estimate</t>
    </r>
  </si>
  <si>
    <t>Korea</t>
  </si>
  <si>
    <t>District cooling</t>
  </si>
  <si>
    <t>Study on use of seawater cooling in commercial facilities, highly relevant</t>
  </si>
  <si>
    <t>Compares four cases: indirect seawater cooling with heat exchanger and loop, traditional cooling tower (evaporative), air cooling, and direct seawater cooling loop</t>
  </si>
  <si>
    <r>
      <t xml:space="preserve">Reports costs in </t>
    </r>
    <r>
      <rPr>
        <b/>
        <sz val="11"/>
        <color theme="1"/>
        <rFont val="Aptos Narrow"/>
        <family val="2"/>
        <scheme val="minor"/>
      </rPr>
      <t>Figure 8</t>
    </r>
    <r>
      <rPr>
        <sz val="11"/>
        <color theme="1"/>
        <rFont val="Aptos Narrow"/>
        <family val="2"/>
        <scheme val="minor"/>
      </rPr>
      <t>, $USD1000s, by case. Does not provide per-unit breakdown costs. Both seawater cases are significantly cheaper compared to other approaches; ~50% cheaper than cooling tower, 20-25% cheaper than air cooling.</t>
    </r>
  </si>
  <si>
    <t>https://doi.org/10.1016/j.enbuild.2006.11.011</t>
  </si>
  <si>
    <t>Song et al.</t>
  </si>
  <si>
    <t>Effects of utilizaing seawater as a cooling source system in a commercial complex</t>
  </si>
  <si>
    <t>Energy and Buildings</t>
  </si>
  <si>
    <t>Values taken from the 2024 US Department of Energy's Annual Technology Baseline</t>
  </si>
  <si>
    <t>https://data.openei.org/submissions/6006</t>
  </si>
  <si>
    <t>Archive of ATB is available above; removed by current US government from departmental websites for political reasons</t>
  </si>
  <si>
    <t>The below values are projections taken from the ATB "2024 v1 Annual Technology Baseline Workbook Original 6-24-2024" file available at the above link</t>
  </si>
  <si>
    <t>Sheet names in BOLD and CAPITALS below denote the sheet they are copy-pasted from in the ATB workbook</t>
  </si>
  <si>
    <t>FIXED-BOTTOM OFFSHORE WIND</t>
  </si>
  <si>
    <t>Levelized Cost of Energy ($/MWh)</t>
  </si>
  <si>
    <t>Offshore Wind - Class 1</t>
  </si>
  <si>
    <t>Advanced</t>
  </si>
  <si>
    <t>Moderate</t>
  </si>
  <si>
    <t>Conservative</t>
  </si>
  <si>
    <t>Offshore Wind - Class 2</t>
  </si>
  <si>
    <t>Offshore Wind - Class 3</t>
  </si>
  <si>
    <t>Offshore Wind - Class 4</t>
  </si>
  <si>
    <t>Offshore Wind - Class 5</t>
  </si>
  <si>
    <t>Offshore Wind - Class 6</t>
  </si>
  <si>
    <t>Offshore Wind - Class 7</t>
  </si>
  <si>
    <t>FLOATING OFFSHORE WIND</t>
  </si>
  <si>
    <t>Offshore Wind - Class 8</t>
  </si>
  <si>
    <t>Offshore Wind - Class 9</t>
  </si>
  <si>
    <t>Offshore Wind - Class 10</t>
  </si>
  <si>
    <t>Offshore Wind - Class 11</t>
  </si>
  <si>
    <t>Offshore Wind - Class 12</t>
  </si>
  <si>
    <t>Offshore Wind - Class 13</t>
  </si>
  <si>
    <t>Offshore Wind - Class 14</t>
  </si>
  <si>
    <t>N.b. These values start in 2030 rather than 2022 as no floating projects existed at the time to the satisfaction of the ATB's builders</t>
  </si>
  <si>
    <t>Re: 0% interest rate, note for myself -- I need to re-read this stuff and some other sources and I can provide you with some adaptable text later in July for justifying the sensitivity case cleanly.</t>
  </si>
  <si>
    <t>It would be reasonable to assume US government values are too low for commercial planning</t>
  </si>
  <si>
    <t>See screenshot to the right for nominal and real rates used by US government.</t>
  </si>
  <si>
    <t>"Adoption scenario"</t>
  </si>
  <si>
    <t>N.b. the "Adoption scenario" column is the ATB's method of estimating technology progress curves. "Advanced" means lowest cost/most advancement, "moderate" means approximately expected development paths, and "conservative" means "low adoption/slow progress". So these tables give cost estimates for high/medium/low adoption scenarios across technology categories.</t>
  </si>
  <si>
    <t>Offshore Wind "Class" info can be found in the ATB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</si>
</sst>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theme="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Alignment="1">
      <alignment wrapText="1"/>
    </xf>
    <xf numFmtId="0" fontId="2" fillId="0" borderId="0" xfId="1" applyAlignment="1">
      <alignment wrapText="1"/>
    </xf>
    <xf numFmtId="0" fontId="0" fillId="0" borderId="0" xfId="0" applyAlignment="1">
      <alignment vertical="top" wrapText="1"/>
    </xf>
    <xf numFmtId="164" fontId="0" fillId="0" borderId="0" xfId="0" applyNumberFormat="1" applyAlignment="1">
      <alignment wrapText="1"/>
    </xf>
    <xf numFmtId="164" fontId="0" fillId="0" borderId="0" xfId="0" applyNumberFormat="1" applyAlignment="1">
      <alignment vertical="top" wrapText="1"/>
    </xf>
    <xf numFmtId="0" fontId="2" fillId="0" borderId="0" xfId="1" applyAlignment="1"/>
    <xf numFmtId="0" fontId="1" fillId="0" borderId="0" xfId="0" applyFont="1" applyAlignment="1">
      <alignment wrapText="1"/>
    </xf>
    <xf numFmtId="0" fontId="1" fillId="0" borderId="0" xfId="0" applyFont="1"/>
    <xf numFmtId="0" fontId="0" fillId="2" borderId="0" xfId="0" applyFill="1" applyAlignment="1">
      <alignment wrapText="1"/>
    </xf>
    <xf numFmtId="0" fontId="0" fillId="3" borderId="0" xfId="0" applyFill="1" applyAlignment="1">
      <alignment wrapText="1"/>
    </xf>
    <xf numFmtId="0" fontId="1" fillId="4" borderId="0" xfId="0" applyFont="1" applyFill="1"/>
    <xf numFmtId="0" fontId="0" fillId="4" borderId="0" xfId="0" applyFill="1" applyAlignment="1">
      <alignment wrapText="1"/>
    </xf>
    <xf numFmtId="0" fontId="0" fillId="0" borderId="0" xfId="0" applyFont="1" applyAlignment="1">
      <alignment wrapText="1"/>
    </xf>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2</xdr:row>
      <xdr:rowOff>0</xdr:rowOff>
    </xdr:from>
    <xdr:to>
      <xdr:col>32</xdr:col>
      <xdr:colOff>144001</xdr:colOff>
      <xdr:row>28</xdr:row>
      <xdr:rowOff>48323</xdr:rowOff>
    </xdr:to>
    <xdr:pic>
      <xdr:nvPicPr>
        <xdr:cNvPr id="2" name="Picture 1">
          <a:extLst>
            <a:ext uri="{FF2B5EF4-FFF2-40B4-BE49-F238E27FC236}">
              <a16:creationId xmlns:a16="http://schemas.microsoft.com/office/drawing/2014/main" id="{0F18B5BD-4EB9-7389-D0B1-2083FC696FC1}"/>
            </a:ext>
          </a:extLst>
        </xdr:cNvPr>
        <xdr:cNvPicPr>
          <a:picLocks noChangeAspect="1"/>
        </xdr:cNvPicPr>
      </xdr:nvPicPr>
      <xdr:blipFill>
        <a:blip xmlns:r="http://schemas.openxmlformats.org/officeDocument/2006/relationships" r:embed="rId1"/>
        <a:stretch>
          <a:fillRect/>
        </a:stretch>
      </xdr:blipFill>
      <xdr:spPr>
        <a:xfrm>
          <a:off x="11582400" y="381000"/>
          <a:ext cx="8068801" cy="50013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ta.worldbank.org/indicator/PA.NUS.FCR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ia.gov/tools/faqs/faq.php?id=10&amp;t=5" TargetMode="External"/><Relationship Id="rId2" Type="http://schemas.openxmlformats.org/officeDocument/2006/relationships/hyperlink" Target="https://carbonpricingdashboard.worldbank.org/about" TargetMode="External"/><Relationship Id="rId1" Type="http://schemas.openxmlformats.org/officeDocument/2006/relationships/hyperlink" Target="https://data-explorer.oecd.org/vis?lc=en&amp;fs%5b0%5d=Topic,1%7CTaxation%23TAX%23%7CTax%20and%20environment%23TAX_ENV%23&amp;pg=0&amp;fc=Topic&amp;bp=true&amp;snb=7&amp;df%5bds%5d=dsDisseminateFinalDMZ&amp;df%5bid%5d=DSD_NECR%40DF_NECRS&amp;df%5bag%5d=OECD.CTP.TPS&amp;dq=._T._T....MEANW.Q.A&amp;lom=LASTNPERIODS&amp;lo=1&amp;to%5bTIME_PERIOD%5d=false&amp;vw=tb"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arbonpricingdashboard.worldbank.org/abou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oi.org/10.1016/j.energy.2022.124359" TargetMode="External"/><Relationship Id="rId2" Type="http://schemas.openxmlformats.org/officeDocument/2006/relationships/hyperlink" Target="https://doi.org/10.1016/j.renene.2025.123567" TargetMode="External"/><Relationship Id="rId1" Type="http://schemas.openxmlformats.org/officeDocument/2006/relationships/hyperlink" Target="https://doi.org/10.1016/j.applthermaleng.2025.129458" TargetMode="External"/><Relationship Id="rId6" Type="http://schemas.openxmlformats.org/officeDocument/2006/relationships/hyperlink" Target="https://doi.org/10.1016/j.enbuild.2006.11.011" TargetMode="External"/><Relationship Id="rId5" Type="http://schemas.openxmlformats.org/officeDocument/2006/relationships/hyperlink" Target="https://doi.org/10.1016/j.renene.2023.119311" TargetMode="External"/><Relationship Id="rId4" Type="http://schemas.openxmlformats.org/officeDocument/2006/relationships/hyperlink" Target="https://doi.org/10.1016/j.renene.2006.12.015"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E9C24-2381-4E1F-95E5-BE310021FD35}">
  <dimension ref="A2:E34"/>
  <sheetViews>
    <sheetView workbookViewId="0">
      <selection activeCell="D24" sqref="D24"/>
    </sheetView>
  </sheetViews>
  <sheetFormatPr defaultRowHeight="15" x14ac:dyDescent="0.25"/>
  <cols>
    <col min="1" max="1" width="12.42578125" customWidth="1"/>
    <col min="2" max="2" width="68" style="1" customWidth="1"/>
    <col min="3" max="3" width="20.85546875" style="1" customWidth="1"/>
    <col min="4" max="4" width="25.140625" style="1" customWidth="1"/>
    <col min="5" max="5" width="23.42578125" style="1" customWidth="1"/>
    <col min="6" max="6" width="37.85546875" customWidth="1"/>
    <col min="7" max="7" width="19.85546875" customWidth="1"/>
  </cols>
  <sheetData>
    <row r="2" spans="1:5" ht="30" x14ac:dyDescent="0.25">
      <c r="A2" t="s">
        <v>0</v>
      </c>
      <c r="B2" s="1" t="s">
        <v>16</v>
      </c>
      <c r="C2" s="1" t="s">
        <v>54</v>
      </c>
      <c r="D2" s="1" t="s">
        <v>58</v>
      </c>
      <c r="E2" s="1" t="s">
        <v>33</v>
      </c>
    </row>
    <row r="3" spans="1:5" x14ac:dyDescent="0.25">
      <c r="A3" t="s">
        <v>3</v>
      </c>
      <c r="B3" s="1" t="s">
        <v>39</v>
      </c>
      <c r="C3" s="4">
        <f>0.36/1.52*1000</f>
        <v>236.84210526315789</v>
      </c>
      <c r="D3" s="1">
        <v>1.52</v>
      </c>
      <c r="E3" s="1">
        <v>2025</v>
      </c>
    </row>
    <row r="4" spans="1:5" ht="45" x14ac:dyDescent="0.25">
      <c r="B4" s="1" t="s">
        <v>40</v>
      </c>
      <c r="C4" s="4"/>
    </row>
    <row r="5" spans="1:5" x14ac:dyDescent="0.25">
      <c r="A5" t="s">
        <v>14</v>
      </c>
      <c r="B5" s="1" t="s">
        <v>38</v>
      </c>
      <c r="C5" s="4">
        <f>0.1138/1.37*1000</f>
        <v>83.065693430656921</v>
      </c>
      <c r="D5" s="1">
        <v>1.37</v>
      </c>
      <c r="E5" s="1">
        <v>2024</v>
      </c>
    </row>
    <row r="6" spans="1:5" ht="60" x14ac:dyDescent="0.25">
      <c r="B6" s="1" t="s">
        <v>37</v>
      </c>
      <c r="C6" s="4"/>
    </row>
    <row r="7" spans="1:5" x14ac:dyDescent="0.25">
      <c r="A7" t="s">
        <v>1</v>
      </c>
      <c r="B7" s="1" t="s">
        <v>43</v>
      </c>
      <c r="C7" s="4">
        <v>55.65</v>
      </c>
      <c r="D7" s="1">
        <v>7.2</v>
      </c>
      <c r="E7" s="1">
        <v>2024</v>
      </c>
    </row>
    <row r="8" spans="1:5" x14ac:dyDescent="0.25">
      <c r="B8" s="1" t="s">
        <v>44</v>
      </c>
      <c r="C8" s="4" t="s">
        <v>59</v>
      </c>
    </row>
    <row r="9" spans="1:5" ht="30" x14ac:dyDescent="0.25">
      <c r="A9" t="s">
        <v>5</v>
      </c>
      <c r="B9" s="1" t="s">
        <v>48</v>
      </c>
      <c r="C9" s="4">
        <v>106.95</v>
      </c>
      <c r="D9" s="1">
        <v>83.67</v>
      </c>
      <c r="E9" s="1" t="s">
        <v>47</v>
      </c>
    </row>
    <row r="10" spans="1:5" ht="60" x14ac:dyDescent="0.25">
      <c r="B10" s="1" t="s">
        <v>34</v>
      </c>
      <c r="C10" s="4" t="s">
        <v>60</v>
      </c>
    </row>
    <row r="11" spans="1:5" x14ac:dyDescent="0.25">
      <c r="A11" t="s">
        <v>11</v>
      </c>
      <c r="B11" s="1" t="s">
        <v>41</v>
      </c>
      <c r="C11" s="4">
        <v>78.14</v>
      </c>
      <c r="D11" s="1">
        <v>15855.45</v>
      </c>
      <c r="E11" s="1">
        <v>2024</v>
      </c>
    </row>
    <row r="12" spans="1:5" ht="75" x14ac:dyDescent="0.25">
      <c r="B12" s="3" t="s">
        <v>42</v>
      </c>
      <c r="C12" s="5" t="s">
        <v>61</v>
      </c>
      <c r="D12" s="3"/>
    </row>
    <row r="13" spans="1:5" x14ac:dyDescent="0.25">
      <c r="A13" t="s">
        <v>13</v>
      </c>
      <c r="B13" s="1" t="s">
        <v>32</v>
      </c>
      <c r="C13" s="4">
        <f>0.2478/0.92*1000</f>
        <v>269.3478260869565</v>
      </c>
      <c r="D13" s="1">
        <v>0.92</v>
      </c>
      <c r="E13" s="1">
        <v>2025</v>
      </c>
    </row>
    <row r="14" spans="1:5" ht="62.25" customHeight="1" x14ac:dyDescent="0.25">
      <c r="B14" s="1" t="s">
        <v>29</v>
      </c>
      <c r="C14" s="4"/>
    </row>
    <row r="15" spans="1:5" ht="30" x14ac:dyDescent="0.25">
      <c r="A15" t="s">
        <v>2</v>
      </c>
      <c r="B15" s="1" t="s">
        <v>35</v>
      </c>
      <c r="C15" s="4">
        <f>(20.58*(1/3)+19.42*(2/3))/151.37*1000</f>
        <v>130.8493536808262</v>
      </c>
      <c r="D15" s="1">
        <v>151.37</v>
      </c>
      <c r="E15" s="1">
        <v>2024</v>
      </c>
    </row>
    <row r="16" spans="1:5" ht="150" x14ac:dyDescent="0.25">
      <c r="B16" s="1" t="s">
        <v>36</v>
      </c>
      <c r="C16" s="4" t="s">
        <v>62</v>
      </c>
      <c r="E16" s="1">
        <v>2024</v>
      </c>
    </row>
    <row r="17" spans="1:5" x14ac:dyDescent="0.25">
      <c r="A17" t="s">
        <v>7</v>
      </c>
      <c r="B17" s="1" t="s">
        <v>45</v>
      </c>
      <c r="C17" s="4">
        <v>113.71</v>
      </c>
      <c r="D17" s="1">
        <v>4.58</v>
      </c>
      <c r="E17" s="1">
        <v>2024</v>
      </c>
    </row>
    <row r="18" spans="1:5" x14ac:dyDescent="0.25">
      <c r="B18" s="1" t="s">
        <v>44</v>
      </c>
      <c r="C18" s="4" t="s">
        <v>59</v>
      </c>
    </row>
    <row r="19" spans="1:5" x14ac:dyDescent="0.25">
      <c r="A19" t="s">
        <v>12</v>
      </c>
      <c r="B19" s="1" t="s">
        <v>31</v>
      </c>
      <c r="C19" s="4">
        <f>0.1609/0.92*1000</f>
        <v>174.89130434782606</v>
      </c>
      <c r="D19" s="1">
        <v>0.92</v>
      </c>
      <c r="E19" s="1">
        <v>2025</v>
      </c>
    </row>
    <row r="20" spans="1:5" ht="60" x14ac:dyDescent="0.25">
      <c r="B20" s="1" t="s">
        <v>29</v>
      </c>
    </row>
    <row r="21" spans="1:5" x14ac:dyDescent="0.25">
      <c r="A21" t="s">
        <v>4</v>
      </c>
      <c r="B21" s="1" t="s">
        <v>28</v>
      </c>
      <c r="C21" s="4">
        <f>0.0744/0.92*1000</f>
        <v>80.869565217391283</v>
      </c>
      <c r="D21" s="1">
        <v>0.92</v>
      </c>
      <c r="E21" s="1">
        <v>2025</v>
      </c>
    </row>
    <row r="22" spans="1:5" ht="75" x14ac:dyDescent="0.25">
      <c r="B22" s="1" t="s">
        <v>63</v>
      </c>
      <c r="C22" s="4"/>
      <c r="D22" s="1" t="s">
        <v>64</v>
      </c>
    </row>
    <row r="23" spans="1:5" x14ac:dyDescent="0.25">
      <c r="A23" t="s">
        <v>6</v>
      </c>
      <c r="B23" s="1" t="s">
        <v>30</v>
      </c>
      <c r="C23" s="4">
        <f>0.1133/0.92*1000</f>
        <v>123.15217391304347</v>
      </c>
      <c r="D23" s="1">
        <v>0.92</v>
      </c>
      <c r="E23" s="1">
        <v>2025</v>
      </c>
    </row>
    <row r="24" spans="1:5" ht="60" x14ac:dyDescent="0.25">
      <c r="B24" s="1" t="s">
        <v>29</v>
      </c>
      <c r="C24" s="4"/>
    </row>
    <row r="25" spans="1:5" x14ac:dyDescent="0.25">
      <c r="A25" t="s">
        <v>9</v>
      </c>
      <c r="B25" s="1" t="s">
        <v>46</v>
      </c>
      <c r="C25" s="4">
        <v>188.06</v>
      </c>
      <c r="D25" s="1">
        <v>1.34</v>
      </c>
      <c r="E25" s="1">
        <v>2024</v>
      </c>
    </row>
    <row r="26" spans="1:5" x14ac:dyDescent="0.25">
      <c r="B26" s="1" t="s">
        <v>44</v>
      </c>
      <c r="C26" s="4" t="s">
        <v>61</v>
      </c>
    </row>
    <row r="27" spans="1:5" x14ac:dyDescent="0.25">
      <c r="A27" t="s">
        <v>10</v>
      </c>
      <c r="B27" s="1" t="s">
        <v>49</v>
      </c>
      <c r="C27" s="4">
        <f>172.99/1363.38*1000</f>
        <v>126.88318737255938</v>
      </c>
      <c r="D27" s="1">
        <v>1363.38</v>
      </c>
      <c r="E27" s="1">
        <v>2024</v>
      </c>
    </row>
    <row r="28" spans="1:5" ht="75" x14ac:dyDescent="0.25">
      <c r="B28" s="1" t="s">
        <v>50</v>
      </c>
      <c r="C28" s="4"/>
    </row>
    <row r="29" spans="1:5" x14ac:dyDescent="0.25">
      <c r="A29" t="s">
        <v>8</v>
      </c>
      <c r="B29" s="1" t="s">
        <v>52</v>
      </c>
      <c r="C29" s="4">
        <f>0.2381/0.78*1000</f>
        <v>305.25641025641028</v>
      </c>
      <c r="D29" s="1">
        <v>0.78</v>
      </c>
      <c r="E29" s="1">
        <v>2025</v>
      </c>
    </row>
    <row r="30" spans="1:5" ht="60" x14ac:dyDescent="0.25">
      <c r="B30" s="1" t="s">
        <v>51</v>
      </c>
      <c r="C30" s="4"/>
    </row>
    <row r="31" spans="1:5" x14ac:dyDescent="0.25">
      <c r="A31" t="s">
        <v>15</v>
      </c>
      <c r="B31" s="1" t="s">
        <v>53</v>
      </c>
      <c r="C31" s="4">
        <v>127.5</v>
      </c>
      <c r="D31" s="1">
        <v>1</v>
      </c>
      <c r="E31" s="1">
        <v>2024</v>
      </c>
    </row>
    <row r="32" spans="1:5" ht="45" x14ac:dyDescent="0.25">
      <c r="B32" s="1" t="s">
        <v>55</v>
      </c>
      <c r="C32" s="4"/>
    </row>
    <row r="33" spans="4:4" ht="75" x14ac:dyDescent="0.25">
      <c r="D33" s="1" t="s">
        <v>56</v>
      </c>
    </row>
    <row r="34" spans="4:4" ht="30" x14ac:dyDescent="0.25">
      <c r="D34" s="2" t="s">
        <v>57</v>
      </c>
    </row>
  </sheetData>
  <hyperlinks>
    <hyperlink ref="D34" r:id="rId1" xr:uid="{915DBDB4-835E-4D78-AC64-81C7A5C7149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72BF-290C-4A19-B1E1-A1895B50CF11}">
  <dimension ref="A1:F30"/>
  <sheetViews>
    <sheetView workbookViewId="0">
      <selection activeCell="C23" sqref="C23"/>
    </sheetView>
  </sheetViews>
  <sheetFormatPr defaultRowHeight="15" x14ac:dyDescent="0.25"/>
  <cols>
    <col min="1" max="1" width="11.85546875" customWidth="1"/>
    <col min="2" max="2" width="35.85546875" style="1" customWidth="1"/>
    <col min="3" max="3" width="31.140625" style="1" customWidth="1"/>
    <col min="4" max="4" width="24.5703125" style="1" customWidth="1"/>
  </cols>
  <sheetData>
    <row r="1" spans="1:6" x14ac:dyDescent="0.25">
      <c r="A1" t="s">
        <v>67</v>
      </c>
    </row>
    <row r="2" spans="1:6" x14ac:dyDescent="0.25">
      <c r="A2" t="s">
        <v>69</v>
      </c>
    </row>
    <row r="3" spans="1:6" x14ac:dyDescent="0.25">
      <c r="A3" t="s">
        <v>70</v>
      </c>
    </row>
    <row r="4" spans="1:6" x14ac:dyDescent="0.25">
      <c r="A4" t="s">
        <v>71</v>
      </c>
      <c r="C4" s="6" t="s">
        <v>73</v>
      </c>
    </row>
    <row r="5" spans="1:6" x14ac:dyDescent="0.25">
      <c r="A5" t="s">
        <v>72</v>
      </c>
      <c r="C5" s="6" t="s">
        <v>74</v>
      </c>
    </row>
    <row r="6" spans="1:6" x14ac:dyDescent="0.25">
      <c r="A6" t="s">
        <v>91</v>
      </c>
    </row>
    <row r="7" spans="1:6" x14ac:dyDescent="0.25">
      <c r="A7" s="8" t="s">
        <v>75</v>
      </c>
    </row>
    <row r="8" spans="1:6" ht="30" x14ac:dyDescent="0.25">
      <c r="A8" t="s">
        <v>0</v>
      </c>
      <c r="B8" s="1" t="s">
        <v>76</v>
      </c>
      <c r="C8" s="1" t="s">
        <v>65</v>
      </c>
      <c r="D8" s="1" t="s">
        <v>66</v>
      </c>
      <c r="E8" s="1" t="s">
        <v>68</v>
      </c>
      <c r="F8" s="1"/>
    </row>
    <row r="9" spans="1:6" x14ac:dyDescent="0.25">
      <c r="A9" t="s">
        <v>3</v>
      </c>
      <c r="B9" s="1" t="s">
        <v>77</v>
      </c>
      <c r="C9" s="1">
        <v>33.17</v>
      </c>
      <c r="D9" s="1">
        <f>C9/1.52</f>
        <v>21.822368421052634</v>
      </c>
      <c r="E9">
        <v>2023</v>
      </c>
    </row>
    <row r="10" spans="1:6" x14ac:dyDescent="0.25">
      <c r="A10" t="s">
        <v>14</v>
      </c>
      <c r="B10" s="1" t="s">
        <v>79</v>
      </c>
      <c r="C10" s="1">
        <v>61.31</v>
      </c>
      <c r="D10" s="1">
        <f>C10/1.37</f>
        <v>44.751824817518248</v>
      </c>
      <c r="E10">
        <v>2023</v>
      </c>
    </row>
    <row r="11" spans="1:6" x14ac:dyDescent="0.25">
      <c r="A11" t="s">
        <v>1</v>
      </c>
      <c r="B11" s="1" t="s">
        <v>77</v>
      </c>
      <c r="C11" s="1">
        <v>69.89</v>
      </c>
      <c r="D11" s="1">
        <f>C11/7.2</f>
        <v>9.7069444444444439</v>
      </c>
      <c r="E11">
        <v>2023</v>
      </c>
    </row>
    <row r="12" spans="1:6" x14ac:dyDescent="0.25">
      <c r="A12" t="s">
        <v>5</v>
      </c>
      <c r="B12" s="1" t="s">
        <v>80</v>
      </c>
      <c r="C12" s="1">
        <v>735.99</v>
      </c>
      <c r="D12" s="1">
        <f>C12/83.67</f>
        <v>8.7963427751882399</v>
      </c>
      <c r="E12">
        <v>2023</v>
      </c>
    </row>
    <row r="13" spans="1:6" x14ac:dyDescent="0.25">
      <c r="A13" t="s">
        <v>11</v>
      </c>
      <c r="B13" s="1" t="s">
        <v>77</v>
      </c>
      <c r="C13" s="1">
        <v>26206.65</v>
      </c>
      <c r="D13" s="1">
        <f>C13/15855.45</f>
        <v>1.6528480743214478</v>
      </c>
      <c r="E13">
        <v>2023</v>
      </c>
    </row>
    <row r="14" spans="1:6" x14ac:dyDescent="0.25">
      <c r="A14" t="s">
        <v>13</v>
      </c>
      <c r="B14" s="1" t="s">
        <v>79</v>
      </c>
      <c r="C14" s="1">
        <v>59.68</v>
      </c>
      <c r="D14" s="1">
        <f>C14/0.92</f>
        <v>64.869565217391298</v>
      </c>
      <c r="E14">
        <v>2023</v>
      </c>
    </row>
    <row r="15" spans="1:6" x14ac:dyDescent="0.25">
      <c r="A15" t="s">
        <v>2</v>
      </c>
      <c r="B15" s="1" t="s">
        <v>79</v>
      </c>
      <c r="C15" s="1">
        <v>4072.66</v>
      </c>
      <c r="D15" s="1">
        <f>C15/151.37</f>
        <v>26.90533130739248</v>
      </c>
      <c r="E15">
        <v>2023</v>
      </c>
    </row>
    <row r="16" spans="1:6" x14ac:dyDescent="0.25">
      <c r="A16" t="s">
        <v>7</v>
      </c>
      <c r="B16" s="1" t="s">
        <v>81</v>
      </c>
      <c r="C16" s="1">
        <v>0</v>
      </c>
      <c r="D16" s="1">
        <v>0</v>
      </c>
      <c r="E16" t="s">
        <v>86</v>
      </c>
    </row>
    <row r="17" spans="1:5" x14ac:dyDescent="0.25">
      <c r="A17" t="s">
        <v>12</v>
      </c>
      <c r="B17" s="1" t="s">
        <v>79</v>
      </c>
      <c r="C17" s="1">
        <v>112.51</v>
      </c>
      <c r="D17" s="1">
        <f>C17/0.92</f>
        <v>122.29347826086956</v>
      </c>
      <c r="E17">
        <v>2023</v>
      </c>
    </row>
    <row r="18" spans="1:5" x14ac:dyDescent="0.25">
      <c r="A18" t="s">
        <v>4</v>
      </c>
      <c r="B18" s="1" t="s">
        <v>79</v>
      </c>
      <c r="C18" s="1">
        <v>1155.32</v>
      </c>
      <c r="D18" s="1">
        <f>C18/10.75</f>
        <v>107.47162790697674</v>
      </c>
      <c r="E18">
        <v>2023</v>
      </c>
    </row>
    <row r="19" spans="1:5" x14ac:dyDescent="0.25">
      <c r="A19" t="s">
        <v>6</v>
      </c>
      <c r="B19" s="1" t="s">
        <v>79</v>
      </c>
      <c r="C19" s="1">
        <v>91.07</v>
      </c>
      <c r="D19" s="1">
        <f>C19/0.92</f>
        <v>98.989130434782595</v>
      </c>
      <c r="E19">
        <v>2023</v>
      </c>
    </row>
    <row r="20" spans="1:5" x14ac:dyDescent="0.25">
      <c r="A20" t="s">
        <v>9</v>
      </c>
      <c r="B20" s="1" t="s">
        <v>79</v>
      </c>
      <c r="C20" s="1">
        <v>19.579999999999998</v>
      </c>
      <c r="D20" s="1">
        <f>C20/1.34</f>
        <v>14.611940298507461</v>
      </c>
      <c r="E20">
        <v>2023</v>
      </c>
    </row>
    <row r="21" spans="1:5" x14ac:dyDescent="0.25">
      <c r="A21" t="s">
        <v>10</v>
      </c>
      <c r="B21" s="1" t="s">
        <v>77</v>
      </c>
      <c r="C21" s="1">
        <v>38669.15</v>
      </c>
      <c r="D21" s="1">
        <f>C21/1363.38</f>
        <v>28.362708855931579</v>
      </c>
      <c r="E21">
        <v>2023</v>
      </c>
    </row>
    <row r="22" spans="1:5" ht="30" x14ac:dyDescent="0.25">
      <c r="A22" s="1" t="s">
        <v>8</v>
      </c>
      <c r="B22" s="1" t="s">
        <v>79</v>
      </c>
      <c r="C22" s="1">
        <v>78.010000000000005</v>
      </c>
      <c r="D22" s="1">
        <f>C22/0.78</f>
        <v>100.01282051282051</v>
      </c>
      <c r="E22">
        <v>2023</v>
      </c>
    </row>
    <row r="23" spans="1:5" ht="45" x14ac:dyDescent="0.25">
      <c r="A23" s="1" t="s">
        <v>15</v>
      </c>
      <c r="B23" s="1" t="s">
        <v>82</v>
      </c>
      <c r="C23" s="1">
        <v>0</v>
      </c>
      <c r="D23" s="1">
        <v>0</v>
      </c>
      <c r="E23" t="s">
        <v>86</v>
      </c>
    </row>
    <row r="24" spans="1:5" ht="60" x14ac:dyDescent="0.25">
      <c r="D24" s="1" t="s">
        <v>78</v>
      </c>
    </row>
    <row r="25" spans="1:5" ht="60" x14ac:dyDescent="0.25">
      <c r="D25" s="1" t="s">
        <v>90</v>
      </c>
    </row>
    <row r="26" spans="1:5" x14ac:dyDescent="0.25">
      <c r="A26" t="s">
        <v>83</v>
      </c>
    </row>
    <row r="27" spans="1:5" x14ac:dyDescent="0.25">
      <c r="A27" t="s">
        <v>84</v>
      </c>
    </row>
    <row r="28" spans="1:5" ht="30" x14ac:dyDescent="0.25">
      <c r="A28" t="s">
        <v>85</v>
      </c>
      <c r="C28" s="2" t="s">
        <v>87</v>
      </c>
    </row>
    <row r="29" spans="1:5" x14ac:dyDescent="0.25">
      <c r="A29" t="s">
        <v>88</v>
      </c>
    </row>
    <row r="30" spans="1:5" x14ac:dyDescent="0.25">
      <c r="A30" t="s">
        <v>89</v>
      </c>
    </row>
  </sheetData>
  <hyperlinks>
    <hyperlink ref="C4" r:id="rId1" display="https://data-explorer.oecd.org/vis?lc=en&amp;fs[0]=Topic,1%7CTaxation%23TAX%23%7CTax%20and%20environment%23TAX_ENV%23&amp;pg=0&amp;fc=Topic&amp;bp=true&amp;snb=7&amp;df[ds]=dsDisseminateFinalDMZ&amp;df[id]=DSD_NECR%40DF_NECRS&amp;df[ag]=OECD.CTP.TPS&amp;dq=._T._T....MEANW.Q.A&amp;lom=LASTNPERIODS&amp;lo=1&amp;to[TIME_PERIOD]=false&amp;vw=tb " xr:uid="{E2BBEE78-6C40-4D67-8D63-AF72F7F55826}"/>
    <hyperlink ref="C5" r:id="rId2" location="download-data " xr:uid="{14E3FC25-A98A-417D-A88D-AEDEB60AABB9}"/>
    <hyperlink ref="C28" r:id="rId3" xr:uid="{F5ECD206-D9CA-4D28-9D47-F0DA97D6B2D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8DE9E-AB55-47A1-8E02-6B6624DE2276}">
  <dimension ref="A1:H56"/>
  <sheetViews>
    <sheetView topLeftCell="A12" workbookViewId="0">
      <selection activeCell="F63" sqref="F63"/>
    </sheetView>
  </sheetViews>
  <sheetFormatPr defaultRowHeight="15" x14ac:dyDescent="0.25"/>
  <cols>
    <col min="2" max="2" width="24.85546875" customWidth="1"/>
    <col min="3" max="3" width="31.7109375" customWidth="1"/>
    <col min="6" max="6" width="23.140625" style="1" customWidth="1"/>
    <col min="7" max="7" width="38.5703125" style="1" customWidth="1"/>
    <col min="8" max="8" width="65.85546875" customWidth="1"/>
  </cols>
  <sheetData>
    <row r="1" spans="1:8" x14ac:dyDescent="0.25">
      <c r="A1" t="s">
        <v>92</v>
      </c>
    </row>
    <row r="2" spans="1:8" x14ac:dyDescent="0.25">
      <c r="A2" t="s">
        <v>72</v>
      </c>
      <c r="B2" s="1"/>
      <c r="C2" s="6" t="s">
        <v>74</v>
      </c>
    </row>
    <row r="3" spans="1:8" x14ac:dyDescent="0.25">
      <c r="A3" t="s">
        <v>93</v>
      </c>
    </row>
    <row r="4" spans="1:8" x14ac:dyDescent="0.25">
      <c r="A4" t="s">
        <v>237</v>
      </c>
    </row>
    <row r="5" spans="1:8" x14ac:dyDescent="0.25">
      <c r="C5" s="8" t="s">
        <v>160</v>
      </c>
    </row>
    <row r="6" spans="1:8" ht="45" x14ac:dyDescent="0.25">
      <c r="A6" s="1" t="s">
        <v>0</v>
      </c>
      <c r="B6" s="1" t="s">
        <v>76</v>
      </c>
      <c r="C6" s="1" t="s">
        <v>98</v>
      </c>
      <c r="D6" s="1" t="s">
        <v>68</v>
      </c>
      <c r="E6" s="1" t="s">
        <v>95</v>
      </c>
      <c r="F6" s="1" t="s">
        <v>120</v>
      </c>
      <c r="G6" s="1" t="s">
        <v>121</v>
      </c>
      <c r="H6" s="1" t="s">
        <v>166</v>
      </c>
    </row>
    <row r="7" spans="1:8" x14ac:dyDescent="0.25">
      <c r="A7" t="s">
        <v>3</v>
      </c>
      <c r="B7" s="1" t="s">
        <v>94</v>
      </c>
      <c r="C7" s="1">
        <v>22.37105</v>
      </c>
      <c r="D7">
        <v>2014</v>
      </c>
      <c r="E7" t="s">
        <v>96</v>
      </c>
    </row>
    <row r="8" spans="1:8" ht="30" x14ac:dyDescent="0.25">
      <c r="B8" s="1" t="s">
        <v>97</v>
      </c>
      <c r="C8" s="13">
        <v>24.67623</v>
      </c>
      <c r="D8" s="14">
        <v>2026</v>
      </c>
      <c r="H8" t="s">
        <v>162</v>
      </c>
    </row>
    <row r="9" spans="1:8" x14ac:dyDescent="0.25">
      <c r="A9" t="s">
        <v>14</v>
      </c>
      <c r="B9" s="1" t="s">
        <v>99</v>
      </c>
      <c r="C9" s="1">
        <v>22.49381</v>
      </c>
      <c r="D9">
        <v>2019</v>
      </c>
      <c r="E9" t="s">
        <v>96</v>
      </c>
      <c r="G9" s="9" t="s">
        <v>122</v>
      </c>
      <c r="H9" t="s">
        <v>163</v>
      </c>
    </row>
    <row r="10" spans="1:8" ht="45" x14ac:dyDescent="0.25">
      <c r="B10" s="1" t="s">
        <v>100</v>
      </c>
      <c r="C10" s="1">
        <v>68.404380000000003</v>
      </c>
      <c r="D10">
        <v>2026</v>
      </c>
      <c r="F10" s="1" t="s">
        <v>106</v>
      </c>
      <c r="G10" s="9" t="s">
        <v>123</v>
      </c>
      <c r="H10" t="s">
        <v>164</v>
      </c>
    </row>
    <row r="11" spans="1:8" ht="45" x14ac:dyDescent="0.25">
      <c r="B11" s="1" t="s">
        <v>101</v>
      </c>
      <c r="C11" s="1">
        <v>58.944890000000001</v>
      </c>
      <c r="D11">
        <v>2024</v>
      </c>
      <c r="E11" t="s">
        <v>96</v>
      </c>
      <c r="G11" s="9" t="s">
        <v>124</v>
      </c>
      <c r="H11" t="s">
        <v>165</v>
      </c>
    </row>
    <row r="12" spans="1:8" ht="60" x14ac:dyDescent="0.25">
      <c r="B12" s="1" t="s">
        <v>102</v>
      </c>
      <c r="C12" s="1">
        <v>68.404380000000003</v>
      </c>
      <c r="D12">
        <v>2026</v>
      </c>
      <c r="F12" s="1" t="s">
        <v>103</v>
      </c>
      <c r="G12" s="9" t="s">
        <v>125</v>
      </c>
    </row>
    <row r="13" spans="1:8" ht="30" x14ac:dyDescent="0.25">
      <c r="B13" s="7" t="s">
        <v>104</v>
      </c>
      <c r="C13" s="7">
        <v>58.944890000000001</v>
      </c>
      <c r="D13" s="8">
        <v>2024</v>
      </c>
      <c r="E13" s="8" t="s">
        <v>96</v>
      </c>
      <c r="G13" s="9"/>
    </row>
    <row r="14" spans="1:8" x14ac:dyDescent="0.25">
      <c r="B14" s="7" t="s">
        <v>105</v>
      </c>
      <c r="C14" s="7">
        <v>68.404380000000003</v>
      </c>
      <c r="D14" s="8">
        <v>2026</v>
      </c>
      <c r="E14" s="8"/>
      <c r="G14" s="9"/>
    </row>
    <row r="15" spans="1:8" x14ac:dyDescent="0.25">
      <c r="B15" s="1" t="s">
        <v>107</v>
      </c>
      <c r="C15" s="1">
        <v>48.030740000000002</v>
      </c>
      <c r="D15">
        <v>2023</v>
      </c>
      <c r="E15" t="s">
        <v>118</v>
      </c>
      <c r="G15" s="9"/>
    </row>
    <row r="16" spans="1:8" x14ac:dyDescent="0.25">
      <c r="B16" t="s">
        <v>108</v>
      </c>
      <c r="C16" s="1">
        <v>68.404380000000003</v>
      </c>
      <c r="D16">
        <v>2026</v>
      </c>
      <c r="G16" s="9"/>
    </row>
    <row r="17" spans="1:7" x14ac:dyDescent="0.25">
      <c r="B17" t="s">
        <v>109</v>
      </c>
      <c r="C17" s="1">
        <v>48.030740000000002</v>
      </c>
      <c r="D17">
        <v>2023</v>
      </c>
      <c r="E17" t="s">
        <v>118</v>
      </c>
      <c r="G17" s="9"/>
    </row>
    <row r="18" spans="1:7" x14ac:dyDescent="0.25">
      <c r="B18" t="s">
        <v>110</v>
      </c>
      <c r="C18" s="1">
        <v>68.404380000000003</v>
      </c>
      <c r="D18">
        <v>2026</v>
      </c>
      <c r="G18" s="9"/>
    </row>
    <row r="19" spans="1:7" x14ac:dyDescent="0.25">
      <c r="B19" t="s">
        <v>111</v>
      </c>
      <c r="C19" s="1">
        <v>58.944890000000001</v>
      </c>
      <c r="D19">
        <v>2024</v>
      </c>
      <c r="E19" t="s">
        <v>119</v>
      </c>
      <c r="G19" s="9"/>
    </row>
    <row r="20" spans="1:7" x14ac:dyDescent="0.25">
      <c r="B20" t="s">
        <v>112</v>
      </c>
      <c r="C20" s="1">
        <v>68.404380000000003</v>
      </c>
      <c r="D20">
        <v>2026</v>
      </c>
      <c r="G20" s="9"/>
    </row>
    <row r="21" spans="1:7" x14ac:dyDescent="0.25">
      <c r="B21" t="s">
        <v>113</v>
      </c>
      <c r="C21" s="1">
        <v>11.71087</v>
      </c>
      <c r="D21">
        <v>2018</v>
      </c>
      <c r="E21" t="s">
        <v>118</v>
      </c>
      <c r="G21" s="9"/>
    </row>
    <row r="22" spans="1:7" x14ac:dyDescent="0.25">
      <c r="B22" t="s">
        <v>114</v>
      </c>
      <c r="C22" s="1">
        <v>68.404380000000003</v>
      </c>
      <c r="D22">
        <v>2026</v>
      </c>
      <c r="G22" s="9"/>
    </row>
    <row r="23" spans="1:7" x14ac:dyDescent="0.25">
      <c r="B23" t="s">
        <v>115</v>
      </c>
      <c r="C23" s="1">
        <v>36.946719999999999</v>
      </c>
      <c r="D23">
        <v>2023</v>
      </c>
      <c r="E23" t="s">
        <v>118</v>
      </c>
      <c r="G23" s="9"/>
    </row>
    <row r="24" spans="1:7" ht="45" x14ac:dyDescent="0.25">
      <c r="B24" s="8" t="s">
        <v>116</v>
      </c>
      <c r="C24" s="7">
        <v>29.046659999999999</v>
      </c>
      <c r="D24" s="8">
        <v>2026</v>
      </c>
      <c r="G24" s="9" t="s">
        <v>126</v>
      </c>
    </row>
    <row r="25" spans="1:7" x14ac:dyDescent="0.25">
      <c r="B25" t="s">
        <v>117</v>
      </c>
      <c r="C25" s="1">
        <v>59.944890000000001</v>
      </c>
      <c r="D25">
        <v>2024</v>
      </c>
      <c r="E25" t="s">
        <v>118</v>
      </c>
      <c r="G25" s="9"/>
    </row>
    <row r="26" spans="1:7" x14ac:dyDescent="0.25">
      <c r="A26" t="s">
        <v>1</v>
      </c>
      <c r="B26" s="1" t="s">
        <v>127</v>
      </c>
      <c r="C26" s="1">
        <v>15.410780000000001</v>
      </c>
      <c r="D26">
        <v>2026</v>
      </c>
    </row>
    <row r="27" spans="1:7" x14ac:dyDescent="0.25">
      <c r="B27" s="7" t="s">
        <v>128</v>
      </c>
      <c r="C27" s="7">
        <v>11.5639</v>
      </c>
      <c r="D27" s="8">
        <v>2026</v>
      </c>
    </row>
    <row r="28" spans="1:7" x14ac:dyDescent="0.25">
      <c r="B28" s="1" t="s">
        <v>129</v>
      </c>
      <c r="C28" s="1">
        <v>5.2134980000000004</v>
      </c>
      <c r="D28">
        <v>2026</v>
      </c>
    </row>
    <row r="29" spans="1:7" x14ac:dyDescent="0.25">
      <c r="B29" s="1" t="s">
        <v>130</v>
      </c>
      <c r="C29" s="1">
        <v>3.0094650000000001</v>
      </c>
      <c r="D29">
        <v>2026</v>
      </c>
    </row>
    <row r="30" spans="1:7" x14ac:dyDescent="0.25">
      <c r="B30" s="1" t="s">
        <v>131</v>
      </c>
      <c r="C30" s="1">
        <v>5.7325210000000002</v>
      </c>
      <c r="D30">
        <v>2026</v>
      </c>
    </row>
    <row r="31" spans="1:7" x14ac:dyDescent="0.25">
      <c r="B31" s="1" t="s">
        <v>132</v>
      </c>
      <c r="C31" s="1">
        <v>5.7078059999999997</v>
      </c>
      <c r="D31">
        <v>2026</v>
      </c>
    </row>
    <row r="32" spans="1:7" x14ac:dyDescent="0.25">
      <c r="B32" s="1" t="s">
        <v>133</v>
      </c>
      <c r="C32" s="1">
        <v>9.0502009999999995</v>
      </c>
      <c r="D32">
        <v>2026</v>
      </c>
    </row>
    <row r="33" spans="1:7" x14ac:dyDescent="0.25">
      <c r="B33" s="1" t="s">
        <v>134</v>
      </c>
      <c r="C33" s="1">
        <v>6.6876990000000003</v>
      </c>
      <c r="D33">
        <v>2026</v>
      </c>
    </row>
    <row r="34" spans="1:7" x14ac:dyDescent="0.25">
      <c r="B34" s="1" t="s">
        <v>135</v>
      </c>
      <c r="C34" s="1">
        <v>4.3615430000000002</v>
      </c>
      <c r="D34">
        <v>2026</v>
      </c>
    </row>
    <row r="35" spans="1:7" ht="30" x14ac:dyDescent="0.25">
      <c r="A35" s="1" t="s">
        <v>142</v>
      </c>
      <c r="B35" s="7" t="s">
        <v>143</v>
      </c>
      <c r="C35" s="7">
        <v>84.89058</v>
      </c>
      <c r="D35" s="8">
        <v>2026</v>
      </c>
      <c r="G35" s="9" t="s">
        <v>144</v>
      </c>
    </row>
    <row r="36" spans="1:7" x14ac:dyDescent="0.25">
      <c r="A36" t="s">
        <v>5</v>
      </c>
      <c r="B36" s="1" t="s">
        <v>136</v>
      </c>
      <c r="C36" s="1">
        <v>0</v>
      </c>
      <c r="D36">
        <v>2026</v>
      </c>
    </row>
    <row r="37" spans="1:7" x14ac:dyDescent="0.25">
      <c r="A37" t="s">
        <v>11</v>
      </c>
      <c r="B37" s="7" t="s">
        <v>138</v>
      </c>
      <c r="C37" s="7">
        <v>0.72437499999999999</v>
      </c>
      <c r="D37" s="8">
        <v>2026</v>
      </c>
    </row>
    <row r="38" spans="1:7" x14ac:dyDescent="0.25">
      <c r="A38" t="s">
        <v>13</v>
      </c>
      <c r="B38" s="7" t="s">
        <v>137</v>
      </c>
      <c r="C38" s="7">
        <v>73.691749999999999</v>
      </c>
      <c r="D38" s="8">
        <v>2026</v>
      </c>
    </row>
    <row r="39" spans="1:7" ht="30" x14ac:dyDescent="0.25">
      <c r="A39" t="s">
        <v>2</v>
      </c>
      <c r="B39" s="7" t="s">
        <v>139</v>
      </c>
      <c r="C39" s="7">
        <v>1.8194410000000001</v>
      </c>
      <c r="D39" s="8">
        <v>2026</v>
      </c>
      <c r="G39" s="9" t="s">
        <v>161</v>
      </c>
    </row>
    <row r="40" spans="1:7" x14ac:dyDescent="0.25">
      <c r="B40" s="1" t="s">
        <v>147</v>
      </c>
      <c r="C40" s="1">
        <v>0.96128199999999997</v>
      </c>
      <c r="D40">
        <v>2026</v>
      </c>
      <c r="G40" s="9"/>
    </row>
    <row r="41" spans="1:7" x14ac:dyDescent="0.25">
      <c r="B41" s="7" t="s">
        <v>148</v>
      </c>
      <c r="C41" s="7">
        <v>3.6829510000000001</v>
      </c>
      <c r="D41" s="8">
        <v>2026</v>
      </c>
      <c r="G41" s="9"/>
    </row>
    <row r="42" spans="1:7" x14ac:dyDescent="0.25">
      <c r="A42" t="s">
        <v>7</v>
      </c>
      <c r="B42" s="7" t="s">
        <v>140</v>
      </c>
      <c r="C42" s="7" t="s">
        <v>140</v>
      </c>
      <c r="D42" s="8" t="s">
        <v>140</v>
      </c>
    </row>
    <row r="43" spans="1:7" x14ac:dyDescent="0.25">
      <c r="A43" t="s">
        <v>12</v>
      </c>
      <c r="B43" s="7" t="s">
        <v>141</v>
      </c>
      <c r="C43" s="7">
        <v>102.008</v>
      </c>
      <c r="D43" s="8">
        <v>2026</v>
      </c>
    </row>
    <row r="44" spans="1:7" x14ac:dyDescent="0.25">
      <c r="A44" t="s">
        <v>4</v>
      </c>
      <c r="B44" s="7" t="s">
        <v>145</v>
      </c>
      <c r="C44" s="7">
        <v>169.7056</v>
      </c>
      <c r="D44" s="8">
        <v>2026</v>
      </c>
    </row>
    <row r="45" spans="1:7" x14ac:dyDescent="0.25">
      <c r="A45" t="s">
        <v>6</v>
      </c>
      <c r="B45" s="7" t="s">
        <v>146</v>
      </c>
      <c r="C45" s="7">
        <v>78.206100000000006</v>
      </c>
      <c r="D45" s="8">
        <v>2026</v>
      </c>
    </row>
    <row r="46" spans="1:7" x14ac:dyDescent="0.25">
      <c r="A46" t="s">
        <v>9</v>
      </c>
      <c r="B46" s="7" t="s">
        <v>149</v>
      </c>
      <c r="C46" s="7">
        <v>34.989849999999997</v>
      </c>
      <c r="D46" s="8">
        <v>2026</v>
      </c>
    </row>
    <row r="47" spans="1:7" x14ac:dyDescent="0.25">
      <c r="A47" t="s">
        <v>10</v>
      </c>
      <c r="B47" s="7" t="s">
        <v>150</v>
      </c>
      <c r="C47" s="7">
        <v>10.19275</v>
      </c>
      <c r="D47" s="8">
        <v>2026</v>
      </c>
    </row>
    <row r="48" spans="1:7" ht="30" x14ac:dyDescent="0.25">
      <c r="A48" s="1" t="s">
        <v>8</v>
      </c>
      <c r="B48" s="7" t="s">
        <v>151</v>
      </c>
      <c r="C48" s="7">
        <v>23.942699999999999</v>
      </c>
      <c r="D48" s="8">
        <v>2026</v>
      </c>
    </row>
    <row r="49" spans="1:4" x14ac:dyDescent="0.25">
      <c r="A49" s="1"/>
      <c r="B49" s="7" t="s">
        <v>152</v>
      </c>
      <c r="C49" s="7">
        <v>54.828780000000002</v>
      </c>
      <c r="D49" s="8">
        <v>2026</v>
      </c>
    </row>
    <row r="50" spans="1:4" ht="45" x14ac:dyDescent="0.25">
      <c r="A50" s="1" t="s">
        <v>15</v>
      </c>
      <c r="B50" s="7" t="s">
        <v>153</v>
      </c>
      <c r="C50" s="7">
        <v>29.05</v>
      </c>
      <c r="D50" s="8">
        <v>2026</v>
      </c>
    </row>
    <row r="51" spans="1:4" ht="30" x14ac:dyDescent="0.25">
      <c r="B51" s="1" t="s">
        <v>154</v>
      </c>
      <c r="C51" s="1">
        <v>24.91</v>
      </c>
      <c r="D51">
        <v>2026</v>
      </c>
    </row>
    <row r="52" spans="1:4" x14ac:dyDescent="0.25">
      <c r="B52" s="7" t="s">
        <v>155</v>
      </c>
      <c r="C52" s="7">
        <v>30</v>
      </c>
      <c r="D52" s="8">
        <v>2026</v>
      </c>
    </row>
    <row r="53" spans="1:4" x14ac:dyDescent="0.25">
      <c r="B53" s="1" t="s">
        <v>156</v>
      </c>
      <c r="C53" s="1">
        <v>5</v>
      </c>
      <c r="D53">
        <v>2026</v>
      </c>
    </row>
    <row r="54" spans="1:4" x14ac:dyDescent="0.25">
      <c r="B54" s="1" t="s">
        <v>157</v>
      </c>
      <c r="C54" s="1">
        <v>0</v>
      </c>
      <c r="D54">
        <v>2026</v>
      </c>
    </row>
    <row r="55" spans="1:4" x14ac:dyDescent="0.25">
      <c r="B55" s="7" t="s">
        <v>158</v>
      </c>
      <c r="C55" s="7">
        <v>26.433420000000002</v>
      </c>
      <c r="D55" s="8">
        <v>2026</v>
      </c>
    </row>
    <row r="56" spans="1:4" x14ac:dyDescent="0.25">
      <c r="B56" s="7" t="s">
        <v>159</v>
      </c>
      <c r="C56" s="7">
        <v>65.27</v>
      </c>
      <c r="D56" s="8">
        <v>2026</v>
      </c>
    </row>
  </sheetData>
  <hyperlinks>
    <hyperlink ref="C2" r:id="rId1" location="download-data " xr:uid="{2EA0A218-6D37-42D4-AE7E-413EF8E9AD0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6E918-E5B5-4D7F-B94C-CEA8DB4E0D62}">
  <dimension ref="A1:K21"/>
  <sheetViews>
    <sheetView workbookViewId="0">
      <selection activeCell="I11" sqref="I11"/>
    </sheetView>
  </sheetViews>
  <sheetFormatPr defaultRowHeight="15" x14ac:dyDescent="0.25"/>
  <cols>
    <col min="1" max="1" width="29.42578125" style="1" customWidth="1"/>
    <col min="2" max="2" width="35.28515625" style="1" customWidth="1"/>
    <col min="3" max="3" width="44.42578125" style="1" customWidth="1"/>
    <col min="4" max="4" width="14.85546875" style="1" customWidth="1"/>
    <col min="5" max="6" width="9.140625" style="1"/>
    <col min="7" max="7" width="29.5703125" style="1" customWidth="1"/>
    <col min="8" max="8" width="39" style="1" customWidth="1"/>
    <col min="9" max="9" width="47.85546875" style="1" customWidth="1"/>
    <col min="10" max="10" width="21.140625" style="1" customWidth="1"/>
    <col min="11" max="11" width="11.85546875" customWidth="1"/>
  </cols>
  <sheetData>
    <row r="1" spans="1:11" x14ac:dyDescent="0.25">
      <c r="A1" t="s">
        <v>167</v>
      </c>
    </row>
    <row r="2" spans="1:11" x14ac:dyDescent="0.25">
      <c r="A2" t="s">
        <v>212</v>
      </c>
    </row>
    <row r="3" spans="1:11" x14ac:dyDescent="0.25">
      <c r="A3" t="s">
        <v>168</v>
      </c>
    </row>
    <row r="4" spans="1:11" x14ac:dyDescent="0.25">
      <c r="A4" s="11" t="s">
        <v>215</v>
      </c>
      <c r="B4" s="12"/>
      <c r="C4" s="12"/>
      <c r="D4" s="12"/>
      <c r="E4" s="12"/>
      <c r="F4" s="12"/>
    </row>
    <row r="5" spans="1:11" x14ac:dyDescent="0.25">
      <c r="A5" t="s">
        <v>169</v>
      </c>
    </row>
    <row r="6" spans="1:11" x14ac:dyDescent="0.25">
      <c r="A6" s="1" t="s">
        <v>209</v>
      </c>
    </row>
    <row r="7" spans="1:11" s="1" customFormat="1" ht="30" x14ac:dyDescent="0.25">
      <c r="A7" s="10" t="s">
        <v>170</v>
      </c>
      <c r="B7" s="10" t="s">
        <v>171</v>
      </c>
      <c r="C7" s="10" t="s">
        <v>172</v>
      </c>
      <c r="D7" s="10" t="s">
        <v>173</v>
      </c>
      <c r="E7" s="10" t="s">
        <v>174</v>
      </c>
      <c r="F7" s="10" t="s">
        <v>213</v>
      </c>
      <c r="G7" s="10" t="s">
        <v>175</v>
      </c>
      <c r="H7" s="10" t="s">
        <v>176</v>
      </c>
      <c r="I7" s="10" t="s">
        <v>177</v>
      </c>
      <c r="J7" s="10" t="s">
        <v>192</v>
      </c>
      <c r="K7" s="10" t="s">
        <v>221</v>
      </c>
    </row>
    <row r="8" spans="1:11" ht="45" x14ac:dyDescent="0.25">
      <c r="A8" s="1" t="s">
        <v>178</v>
      </c>
      <c r="B8" s="1" t="s">
        <v>179</v>
      </c>
      <c r="C8" s="1" t="s">
        <v>180</v>
      </c>
      <c r="D8" s="1" t="s">
        <v>181</v>
      </c>
      <c r="E8" s="1">
        <v>2021</v>
      </c>
      <c r="F8" s="1" t="s">
        <v>214</v>
      </c>
      <c r="G8" s="1" t="s">
        <v>182</v>
      </c>
      <c r="H8" s="1" t="s">
        <v>183</v>
      </c>
      <c r="I8" s="1" t="s">
        <v>184</v>
      </c>
      <c r="K8" s="1" t="s">
        <v>220</v>
      </c>
    </row>
    <row r="9" spans="1:11" ht="60" x14ac:dyDescent="0.25">
      <c r="A9" s="1" t="s">
        <v>185</v>
      </c>
      <c r="B9" s="1" t="s">
        <v>186</v>
      </c>
      <c r="C9" s="1" t="s">
        <v>187</v>
      </c>
      <c r="D9" s="1" t="s">
        <v>188</v>
      </c>
      <c r="E9" s="1">
        <v>2019</v>
      </c>
      <c r="F9" s="1" t="s">
        <v>214</v>
      </c>
      <c r="G9" s="1" t="s">
        <v>189</v>
      </c>
      <c r="H9" s="1" t="s">
        <v>190</v>
      </c>
      <c r="I9" s="1" t="s">
        <v>191</v>
      </c>
      <c r="K9" s="1" t="s">
        <v>219</v>
      </c>
    </row>
    <row r="10" spans="1:11" ht="120" x14ac:dyDescent="0.25">
      <c r="A10" s="2" t="s">
        <v>193</v>
      </c>
      <c r="B10" s="1" t="s">
        <v>194</v>
      </c>
      <c r="C10" s="1" t="s">
        <v>195</v>
      </c>
      <c r="D10" s="1" t="s">
        <v>196</v>
      </c>
      <c r="E10" s="1">
        <v>2026</v>
      </c>
      <c r="F10" s="1" t="s">
        <v>216</v>
      </c>
      <c r="G10" s="1" t="s">
        <v>197</v>
      </c>
      <c r="H10" s="1" t="s">
        <v>198</v>
      </c>
      <c r="I10" s="1" t="s">
        <v>199</v>
      </c>
      <c r="J10" s="1" t="s">
        <v>217</v>
      </c>
      <c r="K10" s="1" t="s">
        <v>218</v>
      </c>
    </row>
    <row r="11" spans="1:11" ht="45" x14ac:dyDescent="0.25">
      <c r="A11" s="2" t="s">
        <v>200</v>
      </c>
      <c r="B11" s="1" t="s">
        <v>201</v>
      </c>
      <c r="C11" s="1" t="s">
        <v>202</v>
      </c>
      <c r="D11" s="1" t="s">
        <v>203</v>
      </c>
      <c r="E11" s="1">
        <v>2025</v>
      </c>
      <c r="F11" s="1" t="s">
        <v>214</v>
      </c>
      <c r="G11" s="1" t="s">
        <v>204</v>
      </c>
      <c r="H11" s="1" t="s">
        <v>205</v>
      </c>
      <c r="I11" s="7" t="s">
        <v>207</v>
      </c>
      <c r="J11" s="1" t="s">
        <v>206</v>
      </c>
      <c r="K11" s="1" t="s">
        <v>5</v>
      </c>
    </row>
    <row r="12" spans="1:11" ht="75" x14ac:dyDescent="0.25">
      <c r="A12" s="2" t="s">
        <v>226</v>
      </c>
      <c r="B12" s="1" t="s">
        <v>179</v>
      </c>
      <c r="C12" s="1" t="s">
        <v>227</v>
      </c>
      <c r="D12" s="1" t="s">
        <v>188</v>
      </c>
      <c r="E12" s="1">
        <v>2022</v>
      </c>
      <c r="F12" s="1" t="s">
        <v>214</v>
      </c>
      <c r="G12" s="1" t="s">
        <v>224</v>
      </c>
      <c r="H12" s="7" t="s">
        <v>225</v>
      </c>
      <c r="J12" s="1" t="s">
        <v>222</v>
      </c>
      <c r="K12" s="1" t="s">
        <v>223</v>
      </c>
    </row>
    <row r="13" spans="1:11" ht="45" x14ac:dyDescent="0.25">
      <c r="A13" s="2" t="s">
        <v>232</v>
      </c>
      <c r="B13" s="1" t="s">
        <v>233</v>
      </c>
      <c r="C13" s="1" t="s">
        <v>234</v>
      </c>
      <c r="D13" s="1" t="s">
        <v>203</v>
      </c>
      <c r="E13" s="1">
        <v>2007</v>
      </c>
      <c r="F13" s="1" t="s">
        <v>235</v>
      </c>
      <c r="G13" s="1" t="s">
        <v>228</v>
      </c>
      <c r="H13" s="1" t="s">
        <v>229</v>
      </c>
      <c r="I13" s="1" t="s">
        <v>230</v>
      </c>
      <c r="J13" s="1" t="s">
        <v>231</v>
      </c>
      <c r="K13" s="1" t="s">
        <v>1</v>
      </c>
    </row>
    <row r="14" spans="1:11" ht="75" x14ac:dyDescent="0.25">
      <c r="A14" s="2" t="s">
        <v>238</v>
      </c>
      <c r="B14" s="1" t="s">
        <v>239</v>
      </c>
      <c r="C14" s="1" t="s">
        <v>240</v>
      </c>
      <c r="D14" s="1" t="s">
        <v>203</v>
      </c>
      <c r="E14" s="1">
        <v>2023</v>
      </c>
      <c r="F14" s="1" t="s">
        <v>235</v>
      </c>
      <c r="G14" s="1" t="s">
        <v>241</v>
      </c>
      <c r="H14" s="1" t="s">
        <v>242</v>
      </c>
      <c r="K14" s="1" t="s">
        <v>243</v>
      </c>
    </row>
    <row r="15" spans="1:11" ht="75" x14ac:dyDescent="0.25">
      <c r="A15" s="2" t="s">
        <v>248</v>
      </c>
      <c r="B15" s="1" t="s">
        <v>249</v>
      </c>
      <c r="C15" s="1" t="s">
        <v>250</v>
      </c>
      <c r="D15" s="1" t="s">
        <v>251</v>
      </c>
      <c r="E15" s="1">
        <v>2007</v>
      </c>
      <c r="F15" s="1" t="s">
        <v>244</v>
      </c>
      <c r="G15" s="1" t="s">
        <v>245</v>
      </c>
      <c r="H15" s="1" t="s">
        <v>246</v>
      </c>
      <c r="I15" s="1" t="s">
        <v>247</v>
      </c>
      <c r="K15" s="1" t="s">
        <v>2</v>
      </c>
    </row>
    <row r="20" spans="1:11" ht="30" x14ac:dyDescent="0.25">
      <c r="A20" s="1" t="s">
        <v>210</v>
      </c>
      <c r="B20" s="1" t="s">
        <v>236</v>
      </c>
    </row>
    <row r="21" spans="1:11" ht="30" x14ac:dyDescent="0.25">
      <c r="A21" s="10" t="s">
        <v>211</v>
      </c>
      <c r="B21" s="10" t="s">
        <v>171</v>
      </c>
      <c r="C21" s="10" t="s">
        <v>172</v>
      </c>
      <c r="D21" s="10" t="s">
        <v>173</v>
      </c>
      <c r="E21" s="10" t="s">
        <v>174</v>
      </c>
      <c r="F21" s="10" t="s">
        <v>213</v>
      </c>
      <c r="G21" s="10" t="s">
        <v>175</v>
      </c>
      <c r="H21" s="10" t="s">
        <v>176</v>
      </c>
      <c r="I21" s="10" t="s">
        <v>177</v>
      </c>
      <c r="J21" s="10" t="s">
        <v>192</v>
      </c>
      <c r="K21" s="10" t="s">
        <v>208</v>
      </c>
    </row>
  </sheetData>
  <hyperlinks>
    <hyperlink ref="A10" r:id="rId1" xr:uid="{A83F78F2-3A0C-4EBD-BFA1-FD6C195D22BB}"/>
    <hyperlink ref="A11" r:id="rId2" xr:uid="{A5EB98A7-6959-48C1-9983-11FA20CF8569}"/>
    <hyperlink ref="A12" r:id="rId3" xr:uid="{CD7F83E6-BAD8-4330-BE4A-C89410A26AAE}"/>
    <hyperlink ref="A13" r:id="rId4" xr:uid="{64EF1437-4AEB-4350-B3C5-CEBBA06E7793}"/>
    <hyperlink ref="A14" r:id="rId5" xr:uid="{85D77D73-378D-4505-8962-6F66BF7B01D4}"/>
    <hyperlink ref="A15" r:id="rId6" xr:uid="{D5CE43A5-46FE-4F2B-AB4C-33A2578E115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0E3E9-890B-4D4E-B969-B6AEE5F2B604}">
  <dimension ref="A1:AH58"/>
  <sheetViews>
    <sheetView workbookViewId="0">
      <selection activeCell="A10" sqref="A10"/>
    </sheetView>
  </sheetViews>
  <sheetFormatPr defaultRowHeight="15" x14ac:dyDescent="0.25"/>
  <cols>
    <col min="5" max="5" width="18.140625" customWidth="1"/>
  </cols>
  <sheetData>
    <row r="1" spans="1:34" x14ac:dyDescent="0.25">
      <c r="A1" t="s">
        <v>252</v>
      </c>
    </row>
    <row r="2" spans="1:34" x14ac:dyDescent="0.25">
      <c r="A2" t="s">
        <v>253</v>
      </c>
    </row>
    <row r="3" spans="1:34" x14ac:dyDescent="0.25">
      <c r="A3" t="s">
        <v>254</v>
      </c>
    </row>
    <row r="5" spans="1:34" x14ac:dyDescent="0.25">
      <c r="A5" s="8" t="s">
        <v>255</v>
      </c>
    </row>
    <row r="6" spans="1:34" x14ac:dyDescent="0.25">
      <c r="A6" s="8" t="s">
        <v>256</v>
      </c>
    </row>
    <row r="7" spans="1:34" x14ac:dyDescent="0.25">
      <c r="A7" s="8"/>
    </row>
    <row r="8" spans="1:34" x14ac:dyDescent="0.25">
      <c r="A8" s="8" t="s">
        <v>282</v>
      </c>
    </row>
    <row r="9" spans="1:34" x14ac:dyDescent="0.25">
      <c r="A9" s="8" t="s">
        <v>283</v>
      </c>
    </row>
    <row r="10" spans="1:34" x14ac:dyDescent="0.25">
      <c r="A10" s="8"/>
    </row>
    <row r="11" spans="1:34" x14ac:dyDescent="0.25">
      <c r="A11" s="8" t="s">
        <v>257</v>
      </c>
    </row>
    <row r="12" spans="1:34" x14ac:dyDescent="0.25">
      <c r="E12" t="s">
        <v>281</v>
      </c>
      <c r="F12">
        <v>2022</v>
      </c>
      <c r="G12">
        <v>2023</v>
      </c>
      <c r="H12">
        <v>2024</v>
      </c>
      <c r="I12">
        <v>2025</v>
      </c>
      <c r="J12">
        <v>2026</v>
      </c>
      <c r="K12">
        <v>2027</v>
      </c>
      <c r="L12">
        <v>2028</v>
      </c>
      <c r="M12">
        <v>2029</v>
      </c>
      <c r="N12">
        <v>2030</v>
      </c>
      <c r="O12">
        <v>2031</v>
      </c>
      <c r="P12">
        <v>2032</v>
      </c>
      <c r="Q12">
        <v>2033</v>
      </c>
      <c r="R12">
        <v>2034</v>
      </c>
      <c r="S12">
        <v>2035</v>
      </c>
      <c r="T12">
        <v>2036</v>
      </c>
      <c r="U12">
        <v>2037</v>
      </c>
      <c r="V12">
        <v>2038</v>
      </c>
      <c r="W12">
        <v>2039</v>
      </c>
      <c r="X12">
        <v>2040</v>
      </c>
      <c r="Y12">
        <v>2041</v>
      </c>
      <c r="Z12">
        <v>2042</v>
      </c>
      <c r="AA12">
        <v>2043</v>
      </c>
      <c r="AB12">
        <v>2044</v>
      </c>
      <c r="AC12">
        <v>2045</v>
      </c>
      <c r="AD12">
        <v>2046</v>
      </c>
      <c r="AE12">
        <v>2047</v>
      </c>
      <c r="AF12">
        <v>2048</v>
      </c>
      <c r="AG12">
        <v>2049</v>
      </c>
      <c r="AH12">
        <v>2050</v>
      </c>
    </row>
    <row r="13" spans="1:34" x14ac:dyDescent="0.25">
      <c r="C13" t="s">
        <v>258</v>
      </c>
      <c r="D13" t="s">
        <v>259</v>
      </c>
      <c r="E13" t="s">
        <v>260</v>
      </c>
      <c r="F13">
        <v>82.227793197524875</v>
      </c>
      <c r="G13">
        <v>75.820523173956317</v>
      </c>
      <c r="H13">
        <v>71.757082267588245</v>
      </c>
      <c r="I13">
        <v>68.768342167844366</v>
      </c>
      <c r="J13">
        <v>62.901478546885521</v>
      </c>
      <c r="K13">
        <v>57.558818143311761</v>
      </c>
      <c r="L13">
        <v>52.581727264900572</v>
      </c>
      <c r="M13">
        <v>51.392875474558757</v>
      </c>
      <c r="N13">
        <v>50.375058381416011</v>
      </c>
      <c r="O13">
        <v>49.013883691940144</v>
      </c>
      <c r="P13">
        <v>47.878737770499605</v>
      </c>
      <c r="Q13">
        <v>46.904868234655211</v>
      </c>
      <c r="R13">
        <v>46.050871664510225</v>
      </c>
      <c r="S13">
        <v>45.30384201139406</v>
      </c>
      <c r="T13">
        <v>44.803764599165923</v>
      </c>
      <c r="U13">
        <v>44.33409314978956</v>
      </c>
      <c r="V13">
        <v>43.907894721038609</v>
      </c>
      <c r="W13">
        <v>43.504984628172977</v>
      </c>
      <c r="X13">
        <v>43.122862813673606</v>
      </c>
      <c r="Y13">
        <v>42.775590182238275</v>
      </c>
      <c r="Z13">
        <v>42.436786335727383</v>
      </c>
      <c r="AA13">
        <v>42.121025141197094</v>
      </c>
      <c r="AB13">
        <v>41.81885213998757</v>
      </c>
      <c r="AC13">
        <v>41.536904686235829</v>
      </c>
      <c r="AD13">
        <v>41.258457944546578</v>
      </c>
      <c r="AE13">
        <v>41.005924853547121</v>
      </c>
      <c r="AF13">
        <v>40.75516896382581</v>
      </c>
      <c r="AG13">
        <v>40.513259424362388</v>
      </c>
      <c r="AH13">
        <v>40.287132258241051</v>
      </c>
    </row>
    <row r="14" spans="1:34" x14ac:dyDescent="0.25">
      <c r="D14" t="s">
        <v>259</v>
      </c>
      <c r="E14" t="s">
        <v>261</v>
      </c>
      <c r="F14">
        <v>90.540712104422369</v>
      </c>
      <c r="G14">
        <v>88.483594207150958</v>
      </c>
      <c r="H14">
        <v>86.392068725134635</v>
      </c>
      <c r="I14">
        <v>84.500149589966597</v>
      </c>
      <c r="J14">
        <v>82.967619554612327</v>
      </c>
      <c r="K14">
        <v>81.682814759693969</v>
      </c>
      <c r="L14">
        <v>76.723742241689024</v>
      </c>
      <c r="M14">
        <v>71.911930627368989</v>
      </c>
      <c r="N14">
        <v>67.221530544369912</v>
      </c>
      <c r="O14">
        <v>62.155183014368184</v>
      </c>
      <c r="P14">
        <v>57.304357058234864</v>
      </c>
      <c r="Q14">
        <v>56.436817967302197</v>
      </c>
      <c r="R14">
        <v>55.678889334384444</v>
      </c>
      <c r="S14">
        <v>55.001237538875927</v>
      </c>
      <c r="T14">
        <v>54.551831025565178</v>
      </c>
      <c r="U14">
        <v>54.128740671656146</v>
      </c>
      <c r="V14">
        <v>53.73959131062508</v>
      </c>
      <c r="W14">
        <v>53.360098544179664</v>
      </c>
      <c r="X14">
        <v>53.020246192860093</v>
      </c>
      <c r="Y14">
        <v>52.686026094794393</v>
      </c>
      <c r="Z14">
        <v>52.377079608133563</v>
      </c>
      <c r="AA14">
        <v>52.081358821709195</v>
      </c>
      <c r="AB14">
        <v>51.808098204907921</v>
      </c>
      <c r="AC14">
        <v>51.535474563654965</v>
      </c>
      <c r="AD14">
        <v>51.283214172576123</v>
      </c>
      <c r="AE14">
        <v>51.040222159490661</v>
      </c>
      <c r="AF14">
        <v>50.805789137832519</v>
      </c>
      <c r="AG14">
        <v>50.579261859799061</v>
      </c>
      <c r="AH14">
        <v>50.370103417481843</v>
      </c>
    </row>
    <row r="15" spans="1:34" x14ac:dyDescent="0.25">
      <c r="D15" t="s">
        <v>259</v>
      </c>
      <c r="E15" t="s">
        <v>262</v>
      </c>
      <c r="F15">
        <v>105.21056907075561</v>
      </c>
      <c r="G15">
        <v>106.46650908568148</v>
      </c>
      <c r="H15">
        <v>106.4877857363127</v>
      </c>
      <c r="I15">
        <v>106.04840917091926</v>
      </c>
      <c r="J15">
        <v>105.6415569975356</v>
      </c>
      <c r="K15">
        <v>105.23508447288943</v>
      </c>
      <c r="L15">
        <v>104.86919184397634</v>
      </c>
      <c r="M15">
        <v>104.52059425972377</v>
      </c>
      <c r="N15">
        <v>98.389434503046232</v>
      </c>
      <c r="O15">
        <v>91.689556642631928</v>
      </c>
      <c r="P15">
        <v>85.133024775692178</v>
      </c>
      <c r="Q15">
        <v>78.693798950212013</v>
      </c>
      <c r="R15">
        <v>72.363842207114899</v>
      </c>
      <c r="S15">
        <v>66.095727926904743</v>
      </c>
      <c r="T15">
        <v>65.767249556345917</v>
      </c>
      <c r="U15">
        <v>65.457002998599464</v>
      </c>
      <c r="V15">
        <v>65.162866400732625</v>
      </c>
      <c r="W15">
        <v>64.896583017631968</v>
      </c>
      <c r="X15">
        <v>64.642984103559925</v>
      </c>
      <c r="Y15">
        <v>64.40077877391694</v>
      </c>
      <c r="Z15">
        <v>64.168895508907966</v>
      </c>
      <c r="AA15">
        <v>63.946395867407716</v>
      </c>
      <c r="AB15">
        <v>63.732428466649566</v>
      </c>
      <c r="AC15">
        <v>63.539586360375992</v>
      </c>
      <c r="AD15">
        <v>63.340633840474162</v>
      </c>
      <c r="AE15">
        <v>63.161511925306328</v>
      </c>
      <c r="AF15">
        <v>62.988445051090324</v>
      </c>
      <c r="AG15">
        <v>62.821032896075685</v>
      </c>
      <c r="AH15">
        <v>62.658848233239844</v>
      </c>
    </row>
    <row r="16" spans="1:34" x14ac:dyDescent="0.25">
      <c r="D16" t="s">
        <v>263</v>
      </c>
      <c r="E16" t="s">
        <v>260</v>
      </c>
      <c r="F16">
        <v>84.382665804700309</v>
      </c>
      <c r="G16">
        <v>77.797267256847491</v>
      </c>
      <c r="H16">
        <v>73.63955346252078</v>
      </c>
      <c r="I16">
        <v>70.569564679414455</v>
      </c>
      <c r="J16">
        <v>64.556721373243676</v>
      </c>
      <c r="K16">
        <v>59.099194579573975</v>
      </c>
      <c r="L16">
        <v>54.007156795192522</v>
      </c>
      <c r="M16">
        <v>52.78731631073299</v>
      </c>
      <c r="N16">
        <v>51.734132772304626</v>
      </c>
      <c r="O16">
        <v>50.346318321451918</v>
      </c>
      <c r="P16">
        <v>49.181984494030829</v>
      </c>
      <c r="Q16">
        <v>48.17457329207658</v>
      </c>
      <c r="R16">
        <v>47.310196454889571</v>
      </c>
      <c r="S16">
        <v>46.537642697006021</v>
      </c>
      <c r="T16">
        <v>46.020528965315421</v>
      </c>
      <c r="U16">
        <v>45.543741008689231</v>
      </c>
      <c r="V16">
        <v>45.103204554152477</v>
      </c>
      <c r="W16">
        <v>44.695517975898234</v>
      </c>
      <c r="X16">
        <v>44.308994798739775</v>
      </c>
      <c r="Y16">
        <v>43.941491018073926</v>
      </c>
      <c r="Z16">
        <v>43.599728413914526</v>
      </c>
      <c r="AA16">
        <v>43.273311445104433</v>
      </c>
      <c r="AB16">
        <v>42.960883210535727</v>
      </c>
      <c r="AC16">
        <v>42.669619474136105</v>
      </c>
      <c r="AD16">
        <v>42.389928715690509</v>
      </c>
      <c r="AE16">
        <v>42.129136180688221</v>
      </c>
      <c r="AF16">
        <v>41.869887786178253</v>
      </c>
      <c r="AG16">
        <v>41.627854749059466</v>
      </c>
      <c r="AH16">
        <v>41.394183226558255</v>
      </c>
    </row>
    <row r="17" spans="4:34" x14ac:dyDescent="0.25">
      <c r="D17" t="s">
        <v>263</v>
      </c>
      <c r="E17" t="s">
        <v>261</v>
      </c>
      <c r="F17">
        <v>92.874599739320004</v>
      </c>
      <c r="G17">
        <v>90.757651812160034</v>
      </c>
      <c r="H17">
        <v>88.620347083356705</v>
      </c>
      <c r="I17">
        <v>86.677095809726325</v>
      </c>
      <c r="J17">
        <v>85.088104321996155</v>
      </c>
      <c r="K17">
        <v>83.792197374242861</v>
      </c>
      <c r="L17">
        <v>78.693269513644012</v>
      </c>
      <c r="M17">
        <v>73.781142553553835</v>
      </c>
      <c r="N17">
        <v>68.993135471213975</v>
      </c>
      <c r="O17">
        <v>63.814829223069651</v>
      </c>
      <c r="P17">
        <v>58.858519192194024</v>
      </c>
      <c r="Q17">
        <v>57.961024814387507</v>
      </c>
      <c r="R17">
        <v>57.177211614157592</v>
      </c>
      <c r="S17">
        <v>56.488303499266927</v>
      </c>
      <c r="T17">
        <v>56.023662692726596</v>
      </c>
      <c r="U17">
        <v>55.586081893775543</v>
      </c>
      <c r="V17">
        <v>55.183904610920294</v>
      </c>
      <c r="W17">
        <v>54.802663975221208</v>
      </c>
      <c r="X17">
        <v>54.45153756171355</v>
      </c>
      <c r="Y17">
        <v>54.117042413874124</v>
      </c>
      <c r="Z17">
        <v>53.797589611012384</v>
      </c>
      <c r="AA17">
        <v>53.491780796635325</v>
      </c>
      <c r="AB17">
        <v>53.198416168390303</v>
      </c>
      <c r="AC17">
        <v>52.92742389424631</v>
      </c>
      <c r="AD17">
        <v>52.666738059411173</v>
      </c>
      <c r="AE17">
        <v>52.415592756008259</v>
      </c>
      <c r="AF17">
        <v>52.184014395697453</v>
      </c>
      <c r="AG17">
        <v>51.949757654694778</v>
      </c>
      <c r="AH17">
        <v>51.723047001984213</v>
      </c>
    </row>
    <row r="18" spans="4:34" x14ac:dyDescent="0.25">
      <c r="D18" t="s">
        <v>263</v>
      </c>
      <c r="E18" t="s">
        <v>262</v>
      </c>
      <c r="F18">
        <v>107.86036513241766</v>
      </c>
      <c r="G18">
        <v>109.13503175815455</v>
      </c>
      <c r="H18">
        <v>109.17280053513247</v>
      </c>
      <c r="I18">
        <v>108.71697494361973</v>
      </c>
      <c r="J18">
        <v>108.27162787153799</v>
      </c>
      <c r="K18">
        <v>107.87368049933534</v>
      </c>
      <c r="L18">
        <v>107.4944484314838</v>
      </c>
      <c r="M18">
        <v>107.15658692390274</v>
      </c>
      <c r="N18">
        <v>100.86614321978415</v>
      </c>
      <c r="O18">
        <v>94.030940568298135</v>
      </c>
      <c r="P18">
        <v>87.32245129659799</v>
      </c>
      <c r="Q18">
        <v>80.753771244320973</v>
      </c>
      <c r="R18">
        <v>74.280198950971382</v>
      </c>
      <c r="S18">
        <v>67.870732090504077</v>
      </c>
      <c r="T18">
        <v>67.531173860843936</v>
      </c>
      <c r="U18">
        <v>67.21030746436594</v>
      </c>
      <c r="V18">
        <v>66.920611632617735</v>
      </c>
      <c r="W18">
        <v>66.630931909267971</v>
      </c>
      <c r="X18">
        <v>66.368889656652229</v>
      </c>
      <c r="Y18">
        <v>66.132960676330057</v>
      </c>
      <c r="Z18">
        <v>65.893161671020238</v>
      </c>
      <c r="AA18">
        <v>65.663017591717349</v>
      </c>
      <c r="AB18">
        <v>65.455905433418593</v>
      </c>
      <c r="AC18">
        <v>65.242558260110883</v>
      </c>
      <c r="AD18">
        <v>65.05075838333812</v>
      </c>
      <c r="AE18">
        <v>64.865697134723206</v>
      </c>
      <c r="AF18">
        <v>64.686866520039828</v>
      </c>
      <c r="AG18">
        <v>64.513850688600158</v>
      </c>
      <c r="AH18">
        <v>64.346245640301163</v>
      </c>
    </row>
    <row r="19" spans="4:34" x14ac:dyDescent="0.25">
      <c r="D19" t="s">
        <v>264</v>
      </c>
      <c r="E19" t="s">
        <v>260</v>
      </c>
      <c r="F19">
        <v>86.327400512646804</v>
      </c>
      <c r="G19">
        <v>79.593368115248751</v>
      </c>
      <c r="H19">
        <v>75.347333358177849</v>
      </c>
      <c r="I19">
        <v>72.193839371106662</v>
      </c>
      <c r="J19">
        <v>66.021107790447957</v>
      </c>
      <c r="K19">
        <v>60.401281747238357</v>
      </c>
      <c r="L19">
        <v>55.143993434348793</v>
      </c>
      <c r="M19">
        <v>53.897247920843689</v>
      </c>
      <c r="N19">
        <v>52.820714618481155</v>
      </c>
      <c r="O19">
        <v>51.402089838966241</v>
      </c>
      <c r="P19">
        <v>50.201751116711243</v>
      </c>
      <c r="Q19">
        <v>49.181993966301356</v>
      </c>
      <c r="R19">
        <v>48.288679069867797</v>
      </c>
      <c r="S19">
        <v>47.499059915267168</v>
      </c>
      <c r="T19">
        <v>46.979820223939079</v>
      </c>
      <c r="U19">
        <v>46.492349486958403</v>
      </c>
      <c r="V19">
        <v>46.041938421893718</v>
      </c>
      <c r="W19">
        <v>45.616059796571697</v>
      </c>
      <c r="X19">
        <v>45.220977105701152</v>
      </c>
      <c r="Y19">
        <v>44.845326466082327</v>
      </c>
      <c r="Z19">
        <v>44.495943109572373</v>
      </c>
      <c r="AA19">
        <v>44.162264751932653</v>
      </c>
      <c r="AB19">
        <v>43.842924989297636</v>
      </c>
      <c r="AC19">
        <v>43.54514965130037</v>
      </c>
      <c r="AD19">
        <v>43.259214849781848</v>
      </c>
      <c r="AE19">
        <v>42.992578921568871</v>
      </c>
      <c r="AF19">
        <v>42.727560813520562</v>
      </c>
      <c r="AG19">
        <v>42.480121572281902</v>
      </c>
      <c r="AH19">
        <v>42.241211201001278</v>
      </c>
    </row>
    <row r="20" spans="4:34" x14ac:dyDescent="0.25">
      <c r="D20" t="s">
        <v>264</v>
      </c>
      <c r="E20" t="s">
        <v>261</v>
      </c>
      <c r="F20">
        <v>95.101195972843541</v>
      </c>
      <c r="G20">
        <v>92.935411793574005</v>
      </c>
      <c r="H20">
        <v>90.757037071725989</v>
      </c>
      <c r="I20">
        <v>88.771939239771683</v>
      </c>
      <c r="J20">
        <v>87.167303322263706</v>
      </c>
      <c r="K20">
        <v>85.824493218258027</v>
      </c>
      <c r="L20">
        <v>80.569520090292485</v>
      </c>
      <c r="M20">
        <v>75.505417623059671</v>
      </c>
      <c r="N20">
        <v>70.568300403636002</v>
      </c>
      <c r="O20">
        <v>65.232567706959728</v>
      </c>
      <c r="P20">
        <v>60.111064806600631</v>
      </c>
      <c r="Q20">
        <v>59.206985750981779</v>
      </c>
      <c r="R20">
        <v>58.406297397815919</v>
      </c>
      <c r="S20">
        <v>57.702510509153718</v>
      </c>
      <c r="T20">
        <v>57.215914634222322</v>
      </c>
      <c r="U20">
        <v>56.780879844947762</v>
      </c>
      <c r="V20">
        <v>56.369986468806331</v>
      </c>
      <c r="W20">
        <v>55.980524463677668</v>
      </c>
      <c r="X20">
        <v>55.610193142432458</v>
      </c>
      <c r="Y20">
        <v>55.268565544878626</v>
      </c>
      <c r="Z20">
        <v>54.942278571814292</v>
      </c>
      <c r="AA20">
        <v>54.62994020431595</v>
      </c>
      <c r="AB20">
        <v>54.341559227008148</v>
      </c>
      <c r="AC20">
        <v>54.064671786725405</v>
      </c>
      <c r="AD20">
        <v>53.798347265773614</v>
      </c>
      <c r="AE20">
        <v>53.54174561059704</v>
      </c>
      <c r="AF20">
        <v>53.294149067093834</v>
      </c>
      <c r="AG20">
        <v>53.054871095199815</v>
      </c>
      <c r="AH20">
        <v>52.83418647856886</v>
      </c>
    </row>
    <row r="21" spans="4:34" x14ac:dyDescent="0.25">
      <c r="D21" t="s">
        <v>264</v>
      </c>
      <c r="E21" t="s">
        <v>262</v>
      </c>
      <c r="F21">
        <v>110.58436391113064</v>
      </c>
      <c r="G21">
        <v>111.90782801530548</v>
      </c>
      <c r="H21">
        <v>111.95267158908132</v>
      </c>
      <c r="I21">
        <v>111.48713636294265</v>
      </c>
      <c r="J21">
        <v>111.03214478166363</v>
      </c>
      <c r="K21">
        <v>110.62558580108444</v>
      </c>
      <c r="L21">
        <v>110.23806389494329</v>
      </c>
      <c r="M21">
        <v>109.89281416974615</v>
      </c>
      <c r="N21">
        <v>103.39731481470422</v>
      </c>
      <c r="O21">
        <v>96.32417380397024</v>
      </c>
      <c r="P21">
        <v>89.422891654873808</v>
      </c>
      <c r="Q21">
        <v>82.643439073729922</v>
      </c>
      <c r="R21">
        <v>75.94473239134382</v>
      </c>
      <c r="S21">
        <v>69.329604069770838</v>
      </c>
      <c r="T21">
        <v>68.98289199795056</v>
      </c>
      <c r="U21">
        <v>68.670250346906073</v>
      </c>
      <c r="V21">
        <v>68.359518646178074</v>
      </c>
      <c r="W21">
        <v>68.078551116436628</v>
      </c>
      <c r="X21">
        <v>67.81094675315353</v>
      </c>
      <c r="Y21">
        <v>67.555285730972059</v>
      </c>
      <c r="Z21">
        <v>67.310471061213107</v>
      </c>
      <c r="AA21">
        <v>67.090000557004032</v>
      </c>
      <c r="AB21">
        <v>66.863992153931775</v>
      </c>
      <c r="AC21">
        <v>66.660603379652869</v>
      </c>
      <c r="AD21">
        <v>66.450316341475329</v>
      </c>
      <c r="AE21">
        <v>66.261347827019591</v>
      </c>
      <c r="AF21">
        <v>66.078774409723408</v>
      </c>
      <c r="AG21">
        <v>65.90211291781884</v>
      </c>
      <c r="AH21">
        <v>65.730944741207082</v>
      </c>
    </row>
    <row r="22" spans="4:34" x14ac:dyDescent="0.25">
      <c r="D22" t="s">
        <v>265</v>
      </c>
      <c r="E22" t="s">
        <v>260</v>
      </c>
      <c r="F22">
        <v>90.406738679521411</v>
      </c>
      <c r="G22">
        <v>83.389098327915178</v>
      </c>
      <c r="H22">
        <v>78.919078113732937</v>
      </c>
      <c r="I22">
        <v>75.635421236881385</v>
      </c>
      <c r="J22">
        <v>69.082435437579562</v>
      </c>
      <c r="K22">
        <v>63.111620147362132</v>
      </c>
      <c r="L22">
        <v>57.534733067798484</v>
      </c>
      <c r="M22">
        <v>56.230697480772761</v>
      </c>
      <c r="N22">
        <v>55.115789305149313</v>
      </c>
      <c r="O22">
        <v>53.620603513759939</v>
      </c>
      <c r="P22">
        <v>52.364903922835204</v>
      </c>
      <c r="Q22">
        <v>51.298031015516273</v>
      </c>
      <c r="R22">
        <v>50.363415170829285</v>
      </c>
      <c r="S22">
        <v>49.537253533724105</v>
      </c>
      <c r="T22">
        <v>48.984237241858011</v>
      </c>
      <c r="U22">
        <v>48.474338501839682</v>
      </c>
      <c r="V22">
        <v>48.003104821743541</v>
      </c>
      <c r="W22">
        <v>47.55758419456216</v>
      </c>
      <c r="X22">
        <v>47.144223088363525</v>
      </c>
      <c r="Y22">
        <v>46.751255945249106</v>
      </c>
      <c r="Z22">
        <v>46.385680829321217</v>
      </c>
      <c r="AA22">
        <v>46.036594929355019</v>
      </c>
      <c r="AB22">
        <v>45.702508219685569</v>
      </c>
      <c r="AC22">
        <v>45.390913185510591</v>
      </c>
      <c r="AD22">
        <v>45.091757209105111</v>
      </c>
      <c r="AE22">
        <v>44.804020724068323</v>
      </c>
      <c r="AF22">
        <v>44.53543453517311</v>
      </c>
      <c r="AG22">
        <v>44.276521961412421</v>
      </c>
      <c r="AH22">
        <v>44.026523737738486</v>
      </c>
    </row>
    <row r="23" spans="4:34" x14ac:dyDescent="0.25">
      <c r="D23" t="s">
        <v>265</v>
      </c>
      <c r="E23" t="s">
        <v>261</v>
      </c>
      <c r="F23">
        <v>99.76636340425307</v>
      </c>
      <c r="G23">
        <v>97.536215518270339</v>
      </c>
      <c r="H23">
        <v>95.268308667234848</v>
      </c>
      <c r="I23">
        <v>93.173019929145809</v>
      </c>
      <c r="J23">
        <v>91.49557648107853</v>
      </c>
      <c r="K23">
        <v>90.091758616241378</v>
      </c>
      <c r="L23">
        <v>84.510434319758048</v>
      </c>
      <c r="M23">
        <v>79.128917626620805</v>
      </c>
      <c r="N23">
        <v>73.88041124907754</v>
      </c>
      <c r="O23">
        <v>68.201308145164816</v>
      </c>
      <c r="P23">
        <v>62.77517841069993</v>
      </c>
      <c r="Q23">
        <v>61.817636397490325</v>
      </c>
      <c r="R23">
        <v>60.993957407587956</v>
      </c>
      <c r="S23">
        <v>60.246009742830289</v>
      </c>
      <c r="T23">
        <v>59.750143515902245</v>
      </c>
      <c r="U23">
        <v>59.283233555679693</v>
      </c>
      <c r="V23">
        <v>58.853940880575635</v>
      </c>
      <c r="W23">
        <v>58.447096568805044</v>
      </c>
      <c r="X23">
        <v>58.060260957465829</v>
      </c>
      <c r="Y23">
        <v>57.703284758485687</v>
      </c>
      <c r="Z23">
        <v>57.362416837151123</v>
      </c>
      <c r="AA23">
        <v>57.036137276971843</v>
      </c>
      <c r="AB23">
        <v>56.734789555179951</v>
      </c>
      <c r="AC23">
        <v>56.445490543718059</v>
      </c>
      <c r="AD23">
        <v>56.1556887204774</v>
      </c>
      <c r="AE23">
        <v>55.887648848704323</v>
      </c>
      <c r="AF23">
        <v>55.640422657816913</v>
      </c>
      <c r="AG23">
        <v>55.39044039830906</v>
      </c>
      <c r="AH23">
        <v>55.159866394097769</v>
      </c>
    </row>
    <row r="24" spans="4:34" x14ac:dyDescent="0.25">
      <c r="D24" t="s">
        <v>265</v>
      </c>
      <c r="E24" t="s">
        <v>262</v>
      </c>
      <c r="F24">
        <v>116.28334880384627</v>
      </c>
      <c r="G24">
        <v>117.70766058839537</v>
      </c>
      <c r="H24">
        <v>117.76657751618357</v>
      </c>
      <c r="I24">
        <v>117.28036477919427</v>
      </c>
      <c r="J24">
        <v>116.80476801348564</v>
      </c>
      <c r="K24">
        <v>116.37978229467248</v>
      </c>
      <c r="L24">
        <v>115.97468847189951</v>
      </c>
      <c r="M24">
        <v>115.58856052342033</v>
      </c>
      <c r="N24">
        <v>108.69172703781794</v>
      </c>
      <c r="O24">
        <v>101.16624434258175</v>
      </c>
      <c r="P24">
        <v>93.820656947916078</v>
      </c>
      <c r="Q24">
        <v>86.583939751453698</v>
      </c>
      <c r="R24">
        <v>79.469387250157041</v>
      </c>
      <c r="S24">
        <v>72.423619579609579</v>
      </c>
      <c r="T24">
        <v>72.061622181556203</v>
      </c>
      <c r="U24">
        <v>71.719620045476049</v>
      </c>
      <c r="V24">
        <v>71.410674527095452</v>
      </c>
      <c r="W24">
        <v>71.101972866169859</v>
      </c>
      <c r="X24">
        <v>70.822592672893634</v>
      </c>
      <c r="Y24">
        <v>70.55572561610434</v>
      </c>
      <c r="Z24">
        <v>70.315280497339032</v>
      </c>
      <c r="AA24">
        <v>70.069962121774793</v>
      </c>
      <c r="AB24">
        <v>69.834021734053607</v>
      </c>
      <c r="AC24">
        <v>69.621642323897376</v>
      </c>
      <c r="AD24">
        <v>69.417085639784673</v>
      </c>
      <c r="AE24">
        <v>69.204918406421086</v>
      </c>
      <c r="AF24">
        <v>69.014259845050475</v>
      </c>
      <c r="AG24">
        <v>68.829812634104456</v>
      </c>
      <c r="AH24">
        <v>68.65113797473046</v>
      </c>
    </row>
    <row r="25" spans="4:34" x14ac:dyDescent="0.25">
      <c r="D25" t="s">
        <v>266</v>
      </c>
      <c r="E25" t="s">
        <v>260</v>
      </c>
      <c r="F25">
        <v>96.594991231937712</v>
      </c>
      <c r="G25">
        <v>89.101045027852422</v>
      </c>
      <c r="H25">
        <v>84.344650496074664</v>
      </c>
      <c r="I25">
        <v>80.810096443579454</v>
      </c>
      <c r="J25">
        <v>73.780350652809275</v>
      </c>
      <c r="K25">
        <v>67.359537636415055</v>
      </c>
      <c r="L25">
        <v>61.361882165147215</v>
      </c>
      <c r="M25">
        <v>59.960561870762952</v>
      </c>
      <c r="N25">
        <v>58.762933344291007</v>
      </c>
      <c r="O25">
        <v>57.168741422701913</v>
      </c>
      <c r="P25">
        <v>55.831406873932274</v>
      </c>
      <c r="Q25">
        <v>54.685585009814979</v>
      </c>
      <c r="R25">
        <v>53.681930486505728</v>
      </c>
      <c r="S25">
        <v>52.805569622759258</v>
      </c>
      <c r="T25">
        <v>52.211710046228347</v>
      </c>
      <c r="U25">
        <v>51.674639754380571</v>
      </c>
      <c r="V25">
        <v>51.168681802981219</v>
      </c>
      <c r="W25">
        <v>50.690293755922816</v>
      </c>
      <c r="X25">
        <v>50.246536035682617</v>
      </c>
      <c r="Y25">
        <v>49.834572706000415</v>
      </c>
      <c r="Z25">
        <v>49.442129085999007</v>
      </c>
      <c r="AA25">
        <v>49.067307928600165</v>
      </c>
      <c r="AB25">
        <v>48.708573815299715</v>
      </c>
      <c r="AC25">
        <v>48.374154670006156</v>
      </c>
      <c r="AD25">
        <v>48.053027981996799</v>
      </c>
      <c r="AE25">
        <v>47.753616389013366</v>
      </c>
      <c r="AF25">
        <v>47.46538842317387</v>
      </c>
      <c r="AG25">
        <v>47.178111938605973</v>
      </c>
      <c r="AH25">
        <v>46.909863544020006</v>
      </c>
    </row>
    <row r="26" spans="4:34" x14ac:dyDescent="0.25">
      <c r="D26" t="s">
        <v>266</v>
      </c>
      <c r="E26" t="s">
        <v>261</v>
      </c>
      <c r="F26">
        <v>106.69270116896725</v>
      </c>
      <c r="G26">
        <v>104.32235545604225</v>
      </c>
      <c r="H26">
        <v>101.90741842958636</v>
      </c>
      <c r="I26">
        <v>99.67580751302711</v>
      </c>
      <c r="J26">
        <v>97.872009305107881</v>
      </c>
      <c r="K26">
        <v>96.362644627392299</v>
      </c>
      <c r="L26">
        <v>90.366475078545591</v>
      </c>
      <c r="M26">
        <v>84.565531746062916</v>
      </c>
      <c r="N26">
        <v>78.90815986152235</v>
      </c>
      <c r="O26">
        <v>72.820693137003502</v>
      </c>
      <c r="P26">
        <v>66.95800095582743</v>
      </c>
      <c r="Q26">
        <v>65.944836434094626</v>
      </c>
      <c r="R26">
        <v>65.061476931684169</v>
      </c>
      <c r="S26">
        <v>64.259079716376746</v>
      </c>
      <c r="T26">
        <v>63.727259783135743</v>
      </c>
      <c r="U26">
        <v>63.239858661682604</v>
      </c>
      <c r="V26">
        <v>62.77945245523933</v>
      </c>
      <c r="W26">
        <v>62.343017785965671</v>
      </c>
      <c r="X26">
        <v>61.941107453000591</v>
      </c>
      <c r="Y26">
        <v>61.545232339837881</v>
      </c>
      <c r="Z26">
        <v>61.192587112279483</v>
      </c>
      <c r="AA26">
        <v>60.84251232936051</v>
      </c>
      <c r="AB26">
        <v>60.519450357425953</v>
      </c>
      <c r="AC26">
        <v>60.19654978753546</v>
      </c>
      <c r="AD26">
        <v>59.898198407406859</v>
      </c>
      <c r="AE26">
        <v>59.62329475955903</v>
      </c>
      <c r="AF26">
        <v>59.345822654325097</v>
      </c>
      <c r="AG26">
        <v>59.077663448263152</v>
      </c>
      <c r="AH26">
        <v>58.830519984744754</v>
      </c>
    </row>
    <row r="27" spans="4:34" x14ac:dyDescent="0.25">
      <c r="D27" t="s">
        <v>266</v>
      </c>
      <c r="E27" t="s">
        <v>262</v>
      </c>
      <c r="F27">
        <v>124.51218754888284</v>
      </c>
      <c r="G27">
        <v>126.05082233444237</v>
      </c>
      <c r="H27">
        <v>126.1164919770919</v>
      </c>
      <c r="I27">
        <v>125.59371030298982</v>
      </c>
      <c r="J27">
        <v>125.11012359021339</v>
      </c>
      <c r="K27">
        <v>124.65322168206069</v>
      </c>
      <c r="L27">
        <v>124.21752499740305</v>
      </c>
      <c r="M27">
        <v>123.80213538490086</v>
      </c>
      <c r="N27">
        <v>116.36280315613499</v>
      </c>
      <c r="O27">
        <v>108.24810803458989</v>
      </c>
      <c r="P27">
        <v>100.3278657714126</v>
      </c>
      <c r="Q27">
        <v>92.545454122683068</v>
      </c>
      <c r="R27">
        <v>84.854191474900347</v>
      </c>
      <c r="S27">
        <v>77.274788537185572</v>
      </c>
      <c r="T27">
        <v>76.886644013278385</v>
      </c>
      <c r="U27">
        <v>76.519897605073638</v>
      </c>
      <c r="V27">
        <v>76.188855458918852</v>
      </c>
      <c r="W27">
        <v>75.87444988689731</v>
      </c>
      <c r="X27">
        <v>75.574917129481264</v>
      </c>
      <c r="Y27">
        <v>75.288751911774071</v>
      </c>
      <c r="Z27">
        <v>75.014663999646473</v>
      </c>
      <c r="AA27">
        <v>74.751590512144361</v>
      </c>
      <c r="AB27">
        <v>74.514986511800586</v>
      </c>
      <c r="AC27">
        <v>74.287445189781835</v>
      </c>
      <c r="AD27">
        <v>74.051963910943243</v>
      </c>
      <c r="AE27">
        <v>73.840539819378876</v>
      </c>
      <c r="AF27">
        <v>73.636235129795296</v>
      </c>
      <c r="AG27">
        <v>73.438543879471467</v>
      </c>
      <c r="AH27">
        <v>73.246972278850649</v>
      </c>
    </row>
    <row r="28" spans="4:34" x14ac:dyDescent="0.25">
      <c r="D28" t="s">
        <v>267</v>
      </c>
      <c r="E28" t="s">
        <v>260</v>
      </c>
      <c r="F28">
        <v>119.88769529358116</v>
      </c>
      <c r="G28">
        <v>110.58012816533143</v>
      </c>
      <c r="H28">
        <v>104.68812156272475</v>
      </c>
      <c r="I28">
        <v>100.30853608399339</v>
      </c>
      <c r="J28">
        <v>91.605069400406222</v>
      </c>
      <c r="K28">
        <v>83.694183917796977</v>
      </c>
      <c r="L28">
        <v>76.270121299529166</v>
      </c>
      <c r="M28">
        <v>74.546312977195086</v>
      </c>
      <c r="N28">
        <v>73.052833896183316</v>
      </c>
      <c r="O28">
        <v>71.076374000796818</v>
      </c>
      <c r="P28">
        <v>69.416256506808509</v>
      </c>
      <c r="Q28">
        <v>67.98775267969431</v>
      </c>
      <c r="R28">
        <v>66.760784853806769</v>
      </c>
      <c r="S28">
        <v>65.668305919914317</v>
      </c>
      <c r="T28">
        <v>64.924429277000144</v>
      </c>
      <c r="U28">
        <v>64.25845657307427</v>
      </c>
      <c r="V28">
        <v>63.631095410869335</v>
      </c>
      <c r="W28">
        <v>63.037905829589</v>
      </c>
      <c r="X28">
        <v>62.491203932632452</v>
      </c>
      <c r="Y28">
        <v>61.971502007364094</v>
      </c>
      <c r="Z28">
        <v>61.47614561335368</v>
      </c>
      <c r="AA28">
        <v>61.018439786356865</v>
      </c>
      <c r="AB28">
        <v>60.580485821526025</v>
      </c>
      <c r="AC28">
        <v>60.160661186280741</v>
      </c>
      <c r="AD28">
        <v>59.772590004264018</v>
      </c>
      <c r="AE28">
        <v>59.384474324986591</v>
      </c>
      <c r="AF28">
        <v>59.025434782620358</v>
      </c>
      <c r="AG28">
        <v>58.679220783386953</v>
      </c>
      <c r="AH28">
        <v>58.344892821451886</v>
      </c>
    </row>
    <row r="29" spans="4:34" x14ac:dyDescent="0.25">
      <c r="D29" t="s">
        <v>267</v>
      </c>
      <c r="E29" t="s">
        <v>261</v>
      </c>
      <c r="F29">
        <v>132.32895359927244</v>
      </c>
      <c r="G29">
        <v>129.39849273139478</v>
      </c>
      <c r="H29">
        <v>126.38881369605029</v>
      </c>
      <c r="I29">
        <v>123.63003529385907</v>
      </c>
      <c r="J29">
        <v>121.37089920582919</v>
      </c>
      <c r="K29">
        <v>119.5332693178234</v>
      </c>
      <c r="L29">
        <v>112.12248864655572</v>
      </c>
      <c r="M29">
        <v>104.93856346770937</v>
      </c>
      <c r="N29">
        <v>97.969046185613564</v>
      </c>
      <c r="O29">
        <v>90.436398792381553</v>
      </c>
      <c r="P29">
        <v>83.213334046756046</v>
      </c>
      <c r="Q29">
        <v>81.95881958355227</v>
      </c>
      <c r="R29">
        <v>80.852895741588284</v>
      </c>
      <c r="S29">
        <v>79.869529420367982</v>
      </c>
      <c r="T29">
        <v>79.219244516994834</v>
      </c>
      <c r="U29">
        <v>78.585790555166241</v>
      </c>
      <c r="V29">
        <v>78.028772908758157</v>
      </c>
      <c r="W29">
        <v>77.480243900127817</v>
      </c>
      <c r="X29">
        <v>76.979258643601611</v>
      </c>
      <c r="Y29">
        <v>76.501930222727395</v>
      </c>
      <c r="Z29">
        <v>76.045965908011809</v>
      </c>
      <c r="AA29">
        <v>75.629877626965865</v>
      </c>
      <c r="AB29">
        <v>75.210868573565222</v>
      </c>
      <c r="AC29">
        <v>74.828229697877447</v>
      </c>
      <c r="AD29">
        <v>74.460224819569973</v>
      </c>
      <c r="AE29">
        <v>74.105680210679466</v>
      </c>
      <c r="AF29">
        <v>73.763605432345258</v>
      </c>
      <c r="AG29">
        <v>73.433089180104773</v>
      </c>
      <c r="AH29">
        <v>73.113290974244521</v>
      </c>
    </row>
    <row r="30" spans="4:34" x14ac:dyDescent="0.25">
      <c r="D30" t="s">
        <v>267</v>
      </c>
      <c r="E30" t="s">
        <v>262</v>
      </c>
      <c r="F30">
        <v>154.28411647877715</v>
      </c>
      <c r="G30">
        <v>156.20507022626725</v>
      </c>
      <c r="H30">
        <v>156.27659526287809</v>
      </c>
      <c r="I30">
        <v>155.6233632867727</v>
      </c>
      <c r="J30">
        <v>155.02873323034336</v>
      </c>
      <c r="K30">
        <v>154.4228457769135</v>
      </c>
      <c r="L30">
        <v>153.88777751984867</v>
      </c>
      <c r="M30">
        <v>153.42178069391468</v>
      </c>
      <c r="N30">
        <v>144.2227848704965</v>
      </c>
      <c r="O30">
        <v>134.20699968366176</v>
      </c>
      <c r="P30">
        <v>124.44887352857545</v>
      </c>
      <c r="Q30">
        <v>114.83461498367822</v>
      </c>
      <c r="R30">
        <v>105.36619286575385</v>
      </c>
      <c r="S30">
        <v>96.018568256780341</v>
      </c>
      <c r="T30">
        <v>95.539882425134437</v>
      </c>
      <c r="U30">
        <v>95.087753151654113</v>
      </c>
      <c r="V30">
        <v>94.658970372777858</v>
      </c>
      <c r="W30">
        <v>94.277709727201113</v>
      </c>
      <c r="X30">
        <v>93.914794042117464</v>
      </c>
      <c r="Y30">
        <v>93.541985624516229</v>
      </c>
      <c r="Z30">
        <v>93.210689311427529</v>
      </c>
      <c r="AA30">
        <v>92.892944839212831</v>
      </c>
      <c r="AB30">
        <v>92.58764268064445</v>
      </c>
      <c r="AC30">
        <v>92.293661309396356</v>
      </c>
      <c r="AD30">
        <v>92.036073999426492</v>
      </c>
      <c r="AE30">
        <v>91.762070230023355</v>
      </c>
      <c r="AF30">
        <v>91.497042226629489</v>
      </c>
      <c r="AG30">
        <v>91.265932161441569</v>
      </c>
      <c r="AH30">
        <v>91.016809874532825</v>
      </c>
    </row>
    <row r="31" spans="4:34" x14ac:dyDescent="0.25">
      <c r="D31" t="s">
        <v>268</v>
      </c>
      <c r="E31" t="s">
        <v>260</v>
      </c>
      <c r="F31">
        <v>163.46188006162265</v>
      </c>
      <c r="G31">
        <v>150.8369170353339</v>
      </c>
      <c r="H31">
        <v>142.76599110357023</v>
      </c>
      <c r="I31">
        <v>136.80098806347877</v>
      </c>
      <c r="J31">
        <v>124.80681259965272</v>
      </c>
      <c r="K31">
        <v>113.92459622527039</v>
      </c>
      <c r="L31">
        <v>103.69541067136244</v>
      </c>
      <c r="M31">
        <v>101.33805401692688</v>
      </c>
      <c r="N31">
        <v>99.310993203669796</v>
      </c>
      <c r="O31">
        <v>96.619347133266615</v>
      </c>
      <c r="P31">
        <v>94.349206789667022</v>
      </c>
      <c r="Q31">
        <v>92.409885486091738</v>
      </c>
      <c r="R31">
        <v>90.735732155094652</v>
      </c>
      <c r="S31">
        <v>89.221908151722175</v>
      </c>
      <c r="T31">
        <v>88.234654580068693</v>
      </c>
      <c r="U31">
        <v>87.307872593339255</v>
      </c>
      <c r="V31">
        <v>86.46322544843143</v>
      </c>
      <c r="W31">
        <v>85.664903367654489</v>
      </c>
      <c r="X31">
        <v>84.907972553694705</v>
      </c>
      <c r="Y31">
        <v>84.216247319589755</v>
      </c>
      <c r="Z31">
        <v>83.529574226453434</v>
      </c>
      <c r="AA31">
        <v>82.900759307164634</v>
      </c>
      <c r="AB31">
        <v>82.299068376264884</v>
      </c>
      <c r="AC31">
        <v>81.74925487721687</v>
      </c>
      <c r="AD31">
        <v>81.194802602225394</v>
      </c>
      <c r="AE31">
        <v>80.687963776067747</v>
      </c>
      <c r="AF31">
        <v>80.200036734250304</v>
      </c>
      <c r="AG31">
        <v>79.729583468651327</v>
      </c>
      <c r="AH31">
        <v>79.275370740533674</v>
      </c>
    </row>
    <row r="32" spans="4:34" x14ac:dyDescent="0.25">
      <c r="D32" t="s">
        <v>268</v>
      </c>
      <c r="E32" t="s">
        <v>261</v>
      </c>
      <c r="F32">
        <v>180.66174933477191</v>
      </c>
      <c r="G32">
        <v>176.68421616820879</v>
      </c>
      <c r="H32">
        <v>172.59026879158586</v>
      </c>
      <c r="I32">
        <v>168.85129232478394</v>
      </c>
      <c r="J32">
        <v>165.7738866839355</v>
      </c>
      <c r="K32">
        <v>163.26698822790959</v>
      </c>
      <c r="L32">
        <v>153.06382016431294</v>
      </c>
      <c r="M32">
        <v>143.18113115909264</v>
      </c>
      <c r="N32">
        <v>133.56241793963321</v>
      </c>
      <c r="O32">
        <v>123.17038788302324</v>
      </c>
      <c r="P32">
        <v>113.22187631997926</v>
      </c>
      <c r="Q32">
        <v>111.49957354653377</v>
      </c>
      <c r="R32">
        <v>109.98932823710237</v>
      </c>
      <c r="S32">
        <v>108.65511678848274</v>
      </c>
      <c r="T32">
        <v>107.76293915789215</v>
      </c>
      <c r="U32">
        <v>106.92295122709562</v>
      </c>
      <c r="V32">
        <v>106.12897081371135</v>
      </c>
      <c r="W32">
        <v>105.413055298138</v>
      </c>
      <c r="X32">
        <v>104.69603770164727</v>
      </c>
      <c r="Y32">
        <v>104.04849988047714</v>
      </c>
      <c r="Z32">
        <v>103.43001407774304</v>
      </c>
      <c r="AA32">
        <v>102.87418598141187</v>
      </c>
      <c r="AB32">
        <v>102.3059047515806</v>
      </c>
      <c r="AC32">
        <v>101.79546843525119</v>
      </c>
      <c r="AD32">
        <v>101.26922933305674</v>
      </c>
      <c r="AE32">
        <v>100.79700864657154</v>
      </c>
      <c r="AF32">
        <v>100.34165419337207</v>
      </c>
      <c r="AG32">
        <v>99.866952673892371</v>
      </c>
      <c r="AH32">
        <v>99.441942895159855</v>
      </c>
    </row>
    <row r="33" spans="1:34" x14ac:dyDescent="0.25">
      <c r="D33" t="s">
        <v>268</v>
      </c>
      <c r="E33" t="s">
        <v>262</v>
      </c>
      <c r="F33">
        <v>211.01446057511436</v>
      </c>
      <c r="G33">
        <v>213.69073394978926</v>
      </c>
      <c r="H33">
        <v>213.8090931556099</v>
      </c>
      <c r="I33">
        <v>212.92448679496127</v>
      </c>
      <c r="J33">
        <v>212.05843717941528</v>
      </c>
      <c r="K33">
        <v>211.31689775236154</v>
      </c>
      <c r="L33">
        <v>210.53239330329669</v>
      </c>
      <c r="M33">
        <v>209.86081257792046</v>
      </c>
      <c r="N33">
        <v>197.17755794948147</v>
      </c>
      <c r="O33">
        <v>183.43567606748866</v>
      </c>
      <c r="P33">
        <v>169.93723563121981</v>
      </c>
      <c r="Q33">
        <v>156.63949176188697</v>
      </c>
      <c r="R33">
        <v>143.55727789423077</v>
      </c>
      <c r="S33">
        <v>130.65285877045693</v>
      </c>
      <c r="T33">
        <v>130.01562679912536</v>
      </c>
      <c r="U33">
        <v>129.41441934386046</v>
      </c>
      <c r="V33">
        <v>128.84489675768549</v>
      </c>
      <c r="W33">
        <v>128.30354610330502</v>
      </c>
      <c r="X33">
        <v>127.78747788448599</v>
      </c>
      <c r="Y33">
        <v>127.29408095723609</v>
      </c>
      <c r="Z33">
        <v>126.82127828195263</v>
      </c>
      <c r="AA33">
        <v>126.41359087744783</v>
      </c>
      <c r="AB33">
        <v>125.97632132471558</v>
      </c>
      <c r="AC33">
        <v>125.60076826546678</v>
      </c>
      <c r="AD33">
        <v>125.23927194450869</v>
      </c>
      <c r="AE33">
        <v>124.84490655372161</v>
      </c>
      <c r="AF33">
        <v>124.50853124786423</v>
      </c>
      <c r="AG33">
        <v>124.183249337647</v>
      </c>
      <c r="AH33">
        <v>123.86832945908374</v>
      </c>
    </row>
    <row r="35" spans="1:34" x14ac:dyDescent="0.25">
      <c r="A35" s="8" t="s">
        <v>269</v>
      </c>
    </row>
    <row r="36" spans="1:34" x14ac:dyDescent="0.25">
      <c r="C36" t="s">
        <v>277</v>
      </c>
    </row>
    <row r="37" spans="1:34" x14ac:dyDescent="0.25">
      <c r="E37" t="s">
        <v>281</v>
      </c>
      <c r="F37">
        <v>2030</v>
      </c>
      <c r="G37">
        <v>2031</v>
      </c>
      <c r="H37">
        <v>2032</v>
      </c>
      <c r="I37">
        <v>2033</v>
      </c>
      <c r="J37">
        <v>2034</v>
      </c>
      <c r="K37">
        <v>2035</v>
      </c>
      <c r="L37">
        <v>2036</v>
      </c>
      <c r="M37">
        <v>2037</v>
      </c>
      <c r="N37">
        <v>2038</v>
      </c>
      <c r="O37">
        <v>2039</v>
      </c>
      <c r="P37">
        <v>2040</v>
      </c>
      <c r="Q37">
        <v>2041</v>
      </c>
      <c r="R37">
        <v>2042</v>
      </c>
      <c r="S37">
        <v>2043</v>
      </c>
      <c r="T37">
        <v>2044</v>
      </c>
      <c r="U37">
        <v>2045</v>
      </c>
      <c r="V37">
        <v>2046</v>
      </c>
      <c r="W37">
        <v>2047</v>
      </c>
      <c r="X37">
        <v>2048</v>
      </c>
      <c r="Y37">
        <v>2049</v>
      </c>
      <c r="Z37">
        <v>2050</v>
      </c>
    </row>
    <row r="38" spans="1:34" x14ac:dyDescent="0.25">
      <c r="C38" t="s">
        <v>258</v>
      </c>
      <c r="D38" t="s">
        <v>270</v>
      </c>
      <c r="E38" t="s">
        <v>260</v>
      </c>
      <c r="F38">
        <v>79.494069244164649</v>
      </c>
      <c r="G38">
        <v>71.605181332409259</v>
      </c>
      <c r="H38">
        <v>67.050080219200936</v>
      </c>
      <c r="I38">
        <v>63.884355488374524</v>
      </c>
      <c r="J38">
        <v>61.493939650580813</v>
      </c>
      <c r="K38">
        <v>59.585869983222899</v>
      </c>
      <c r="L38">
        <v>55.692950924893559</v>
      </c>
      <c r="M38">
        <v>53.090837134371185</v>
      </c>
      <c r="N38">
        <v>51.159854455146174</v>
      </c>
      <c r="O38">
        <v>49.62872517224789</v>
      </c>
      <c r="P38">
        <v>48.373506814645893</v>
      </c>
      <c r="Q38">
        <v>47.307371674707376</v>
      </c>
      <c r="R38">
        <v>46.391137430307168</v>
      </c>
      <c r="S38">
        <v>45.58327504098316</v>
      </c>
      <c r="T38">
        <v>44.861500003174733</v>
      </c>
      <c r="U38">
        <v>44.218059908248556</v>
      </c>
      <c r="V38">
        <v>43.632106996217495</v>
      </c>
      <c r="W38">
        <v>43.094406003976076</v>
      </c>
      <c r="X38">
        <v>42.60594565417351</v>
      </c>
      <c r="Y38">
        <v>42.144475734591374</v>
      </c>
      <c r="Z38">
        <v>41.72170419385769</v>
      </c>
    </row>
    <row r="39" spans="1:34" x14ac:dyDescent="0.25">
      <c r="D39" t="s">
        <v>270</v>
      </c>
      <c r="E39" t="s">
        <v>261</v>
      </c>
      <c r="F39">
        <v>115.82687381182741</v>
      </c>
      <c r="G39">
        <v>103.11034688555459</v>
      </c>
      <c r="H39">
        <v>93.701069735795414</v>
      </c>
      <c r="I39">
        <v>90.3542200600494</v>
      </c>
      <c r="J39">
        <v>87.793292469551062</v>
      </c>
      <c r="K39">
        <v>85.721349160701038</v>
      </c>
      <c r="L39">
        <v>81.421062330482741</v>
      </c>
      <c r="M39">
        <v>78.484220873918716</v>
      </c>
      <c r="N39">
        <v>76.279475211325163</v>
      </c>
      <c r="O39">
        <v>74.513207084391283</v>
      </c>
      <c r="P39">
        <v>73.057041666383071</v>
      </c>
      <c r="Q39">
        <v>71.797176311484577</v>
      </c>
      <c r="R39">
        <v>70.710570708486415</v>
      </c>
      <c r="S39">
        <v>69.761178621969862</v>
      </c>
      <c r="T39">
        <v>68.895389194849585</v>
      </c>
      <c r="U39">
        <v>68.123537542747485</v>
      </c>
      <c r="V39">
        <v>67.417795195629878</v>
      </c>
      <c r="W39">
        <v>66.767797818991284</v>
      </c>
      <c r="X39">
        <v>66.165390685757828</v>
      </c>
      <c r="Y39">
        <v>65.604050532300008</v>
      </c>
      <c r="Z39">
        <v>65.091730936830373</v>
      </c>
    </row>
    <row r="40" spans="1:34" x14ac:dyDescent="0.25">
      <c r="D40" t="s">
        <v>270</v>
      </c>
      <c r="E40" t="s">
        <v>262</v>
      </c>
      <c r="F40">
        <v>174.842369079658</v>
      </c>
      <c r="G40">
        <v>160.85173222585493</v>
      </c>
      <c r="H40">
        <v>149.56528709004954</v>
      </c>
      <c r="I40">
        <v>139.52382673702283</v>
      </c>
      <c r="J40">
        <v>130.14615638630485</v>
      </c>
      <c r="K40">
        <v>121.22535452462685</v>
      </c>
      <c r="L40">
        <v>117.19993789665259</v>
      </c>
      <c r="M40">
        <v>114.42742299045298</v>
      </c>
      <c r="N40">
        <v>112.28538736546481</v>
      </c>
      <c r="O40">
        <v>110.57374775675621</v>
      </c>
      <c r="P40">
        <v>109.13776087999851</v>
      </c>
      <c r="Q40">
        <v>107.90089164926532</v>
      </c>
      <c r="R40">
        <v>106.81442413459</v>
      </c>
      <c r="S40">
        <v>105.84541238898146</v>
      </c>
      <c r="T40">
        <v>104.99308031371322</v>
      </c>
      <c r="U40">
        <v>104.19529914861889</v>
      </c>
      <c r="V40">
        <v>103.48401934418948</v>
      </c>
      <c r="W40">
        <v>102.82689270454405</v>
      </c>
      <c r="X40">
        <v>102.21621286289059</v>
      </c>
      <c r="Y40">
        <v>101.64573730570216</v>
      </c>
      <c r="Z40">
        <v>101.11036867902548</v>
      </c>
    </row>
    <row r="41" spans="1:34" x14ac:dyDescent="0.25">
      <c r="D41" t="s">
        <v>271</v>
      </c>
      <c r="E41" t="s">
        <v>260</v>
      </c>
      <c r="F41">
        <v>83.557592281864643</v>
      </c>
      <c r="G41">
        <v>75.239024095731281</v>
      </c>
      <c r="H41">
        <v>70.422694169623625</v>
      </c>
      <c r="I41">
        <v>67.08630210899004</v>
      </c>
      <c r="J41">
        <v>64.567191391023968</v>
      </c>
      <c r="K41">
        <v>62.556493257134711</v>
      </c>
      <c r="L41">
        <v>58.451108577923478</v>
      </c>
      <c r="M41">
        <v>55.707239971449063</v>
      </c>
      <c r="N41">
        <v>53.671210216317334</v>
      </c>
      <c r="O41">
        <v>52.057003819416643</v>
      </c>
      <c r="P41">
        <v>50.723899732132551</v>
      </c>
      <c r="Q41">
        <v>49.609883776849067</v>
      </c>
      <c r="R41">
        <v>48.6346614993043</v>
      </c>
      <c r="S41">
        <v>47.783352091286865</v>
      </c>
      <c r="T41">
        <v>47.031813450435486</v>
      </c>
      <c r="U41">
        <v>46.344764122078246</v>
      </c>
      <c r="V41">
        <v>45.727350764530371</v>
      </c>
      <c r="W41">
        <v>45.16082236454676</v>
      </c>
      <c r="X41">
        <v>44.646122740782289</v>
      </c>
      <c r="Y41">
        <v>44.160020350661895</v>
      </c>
      <c r="Z41">
        <v>43.714593210026074</v>
      </c>
    </row>
    <row r="42" spans="1:34" x14ac:dyDescent="0.25">
      <c r="D42" t="s">
        <v>271</v>
      </c>
      <c r="E42" t="s">
        <v>261</v>
      </c>
      <c r="F42">
        <v>121.88873216748893</v>
      </c>
      <c r="G42">
        <v>108.46801432838554</v>
      </c>
      <c r="H42">
        <v>98.514344486401541</v>
      </c>
      <c r="I42">
        <v>95.006796665195367</v>
      </c>
      <c r="J42">
        <v>92.307479754278575</v>
      </c>
      <c r="K42">
        <v>90.123689076055527</v>
      </c>
      <c r="L42">
        <v>85.588303706253939</v>
      </c>
      <c r="M42">
        <v>82.491271507531749</v>
      </c>
      <c r="N42">
        <v>80.166329053071834</v>
      </c>
      <c r="O42">
        <v>78.303932074572799</v>
      </c>
      <c r="P42">
        <v>76.752873281098871</v>
      </c>
      <c r="Q42">
        <v>75.440319424412294</v>
      </c>
      <c r="R42">
        <v>74.29477197386602</v>
      </c>
      <c r="S42">
        <v>73.278854170274329</v>
      </c>
      <c r="T42">
        <v>72.366408612987229</v>
      </c>
      <c r="U42">
        <v>71.55287684065263</v>
      </c>
      <c r="V42">
        <v>70.809090967877026</v>
      </c>
      <c r="W42">
        <v>70.124079272511509</v>
      </c>
      <c r="X42">
        <v>69.489259657827375</v>
      </c>
      <c r="Y42">
        <v>68.89775800248475</v>
      </c>
      <c r="Z42">
        <v>68.357802689308258</v>
      </c>
    </row>
    <row r="43" spans="1:34" x14ac:dyDescent="0.25">
      <c r="D43" t="s">
        <v>271</v>
      </c>
      <c r="E43" t="s">
        <v>262</v>
      </c>
      <c r="F43">
        <v>184.19625431494586</v>
      </c>
      <c r="G43">
        <v>169.42635216957575</v>
      </c>
      <c r="H43">
        <v>157.50791554917913</v>
      </c>
      <c r="I43">
        <v>146.90176671431212</v>
      </c>
      <c r="J43">
        <v>136.99560269567684</v>
      </c>
      <c r="K43">
        <v>127.57091811910526</v>
      </c>
      <c r="L43">
        <v>123.32618563601538</v>
      </c>
      <c r="M43">
        <v>120.37699316205104</v>
      </c>
      <c r="N43">
        <v>118.14430749930355</v>
      </c>
      <c r="O43">
        <v>116.33965434006929</v>
      </c>
      <c r="P43">
        <v>114.80129031349402</v>
      </c>
      <c r="Q43">
        <v>113.49766402840351</v>
      </c>
      <c r="R43">
        <v>112.37649166075919</v>
      </c>
      <c r="S43">
        <v>111.35507308229366</v>
      </c>
      <c r="T43">
        <v>110.43305564070725</v>
      </c>
      <c r="U43">
        <v>109.61568098430165</v>
      </c>
      <c r="V43">
        <v>108.865850254758</v>
      </c>
      <c r="W43">
        <v>108.1502580425915</v>
      </c>
      <c r="X43">
        <v>107.50668226555409</v>
      </c>
      <c r="Y43">
        <v>106.90550649266029</v>
      </c>
      <c r="Z43">
        <v>106.34137026678978</v>
      </c>
    </row>
    <row r="44" spans="1:34" x14ac:dyDescent="0.25">
      <c r="D44" t="s">
        <v>272</v>
      </c>
      <c r="E44" t="s">
        <v>260</v>
      </c>
      <c r="F44">
        <v>85.323901895698114</v>
      </c>
      <c r="G44">
        <v>76.801703885494703</v>
      </c>
      <c r="H44">
        <v>71.868047282946748</v>
      </c>
      <c r="I44">
        <v>68.450697629213224</v>
      </c>
      <c r="J44">
        <v>65.870597431772865</v>
      </c>
      <c r="K44">
        <v>63.811335299917495</v>
      </c>
      <c r="L44">
        <v>59.604887125620152</v>
      </c>
      <c r="M44">
        <v>56.793700510335029</v>
      </c>
      <c r="N44">
        <v>54.707821851091467</v>
      </c>
      <c r="O44">
        <v>53.054199103544818</v>
      </c>
      <c r="P44">
        <v>51.698654266789333</v>
      </c>
      <c r="Q44">
        <v>50.547501386026127</v>
      </c>
      <c r="R44">
        <v>49.548656269597501</v>
      </c>
      <c r="S44">
        <v>48.676725335135046</v>
      </c>
      <c r="T44">
        <v>47.906960991779066</v>
      </c>
      <c r="U44">
        <v>47.203320786448572</v>
      </c>
      <c r="V44">
        <v>46.571014860222355</v>
      </c>
      <c r="W44">
        <v>45.990841176686686</v>
      </c>
      <c r="X44">
        <v>45.463718676666872</v>
      </c>
      <c r="Y44">
        <v>44.965955903201994</v>
      </c>
      <c r="Z44">
        <v>44.509812972597302</v>
      </c>
    </row>
    <row r="45" spans="1:34" x14ac:dyDescent="0.25">
      <c r="D45" t="s">
        <v>272</v>
      </c>
      <c r="E45" t="s">
        <v>261</v>
      </c>
      <c r="F45">
        <v>124.6035710173781</v>
      </c>
      <c r="G45">
        <v>110.86704795082328</v>
      </c>
      <c r="H45">
        <v>100.65738967731946</v>
      </c>
      <c r="I45">
        <v>97.063986934673622</v>
      </c>
      <c r="J45">
        <v>94.279406248070273</v>
      </c>
      <c r="K45">
        <v>92.061782851407273</v>
      </c>
      <c r="L45">
        <v>87.396450163387783</v>
      </c>
      <c r="M45">
        <v>84.240927288590115</v>
      </c>
      <c r="N45">
        <v>81.842028179559392</v>
      </c>
      <c r="O45">
        <v>79.934288881335391</v>
      </c>
      <c r="P45">
        <v>78.361469694464887</v>
      </c>
      <c r="Q45">
        <v>77.001099841351788</v>
      </c>
      <c r="R45">
        <v>75.827727690291411</v>
      </c>
      <c r="S45">
        <v>74.787240633884792</v>
      </c>
      <c r="T45">
        <v>73.867716595938205</v>
      </c>
      <c r="U45">
        <v>73.034291355919905</v>
      </c>
      <c r="V45">
        <v>72.257734640751622</v>
      </c>
      <c r="W45">
        <v>71.55618153055714</v>
      </c>
      <c r="X45">
        <v>70.920368992040679</v>
      </c>
      <c r="Y45">
        <v>70.314490107948728</v>
      </c>
      <c r="Z45">
        <v>69.747285338587858</v>
      </c>
    </row>
    <row r="46" spans="1:34" x14ac:dyDescent="0.25">
      <c r="D46" t="s">
        <v>272</v>
      </c>
      <c r="E46" t="s">
        <v>262</v>
      </c>
      <c r="F46">
        <v>188.52623374085792</v>
      </c>
      <c r="G46">
        <v>173.37731952476256</v>
      </c>
      <c r="H46">
        <v>161.14979091296993</v>
      </c>
      <c r="I46">
        <v>150.26663534894584</v>
      </c>
      <c r="J46">
        <v>140.10059534359723</v>
      </c>
      <c r="K46">
        <v>130.427790921759</v>
      </c>
      <c r="L46">
        <v>126.07909013809721</v>
      </c>
      <c r="M46">
        <v>123.05774920611937</v>
      </c>
      <c r="N46">
        <v>120.77048024221935</v>
      </c>
      <c r="O46">
        <v>118.92174602239398</v>
      </c>
      <c r="P46">
        <v>117.34598087759998</v>
      </c>
      <c r="Q46">
        <v>116.01059041138301</v>
      </c>
      <c r="R46">
        <v>114.86201903038666</v>
      </c>
      <c r="S46">
        <v>113.81579946782854</v>
      </c>
      <c r="T46">
        <v>112.87135854012615</v>
      </c>
      <c r="U46">
        <v>112.03408790136083</v>
      </c>
      <c r="V46">
        <v>111.26601036436935</v>
      </c>
      <c r="W46">
        <v>110.53310411778747</v>
      </c>
      <c r="X46">
        <v>109.87392382051877</v>
      </c>
      <c r="Y46">
        <v>109.25814184671577</v>
      </c>
      <c r="Z46">
        <v>108.68031909619522</v>
      </c>
    </row>
    <row r="47" spans="1:34" x14ac:dyDescent="0.25">
      <c r="D47" t="s">
        <v>273</v>
      </c>
      <c r="E47" t="s">
        <v>260</v>
      </c>
      <c r="F47">
        <v>88.206328995406039</v>
      </c>
      <c r="G47">
        <v>79.380233635324402</v>
      </c>
      <c r="H47">
        <v>74.270538379779666</v>
      </c>
      <c r="I47">
        <v>70.745107485757345</v>
      </c>
      <c r="J47">
        <v>68.072339860958095</v>
      </c>
      <c r="K47">
        <v>65.926246058230277</v>
      </c>
      <c r="L47">
        <v>61.582705065893109</v>
      </c>
      <c r="M47">
        <v>58.671208419859724</v>
      </c>
      <c r="N47">
        <v>56.499930150489796</v>
      </c>
      <c r="O47">
        <v>54.787637331267376</v>
      </c>
      <c r="P47">
        <v>53.383998771008855</v>
      </c>
      <c r="Q47">
        <v>52.192001806114952</v>
      </c>
      <c r="R47">
        <v>51.16759160674038</v>
      </c>
      <c r="S47">
        <v>50.264522668810628</v>
      </c>
      <c r="T47">
        <v>49.457783678508441</v>
      </c>
      <c r="U47">
        <v>48.738548145120753</v>
      </c>
      <c r="V47">
        <v>48.08367911576881</v>
      </c>
      <c r="W47">
        <v>47.482807223720123</v>
      </c>
      <c r="X47">
        <v>46.936858828955693</v>
      </c>
      <c r="Y47">
        <v>46.421318045350219</v>
      </c>
      <c r="Z47">
        <v>45.948924885784713</v>
      </c>
    </row>
    <row r="48" spans="1:34" x14ac:dyDescent="0.25">
      <c r="D48" t="s">
        <v>273</v>
      </c>
      <c r="E48" t="s">
        <v>261</v>
      </c>
      <c r="F48">
        <v>128.88997119502682</v>
      </c>
      <c r="G48">
        <v>114.65923012145811</v>
      </c>
      <c r="H48">
        <v>104.08113114772341</v>
      </c>
      <c r="I48">
        <v>100.33853151822932</v>
      </c>
      <c r="J48">
        <v>97.475047887546665</v>
      </c>
      <c r="K48">
        <v>95.178114341384344</v>
      </c>
      <c r="L48">
        <v>90.347042996005797</v>
      </c>
      <c r="M48">
        <v>87.079410160597803</v>
      </c>
      <c r="N48">
        <v>84.595200220368582</v>
      </c>
      <c r="O48">
        <v>82.619592838428858</v>
      </c>
      <c r="P48">
        <v>80.990835912932369</v>
      </c>
      <c r="Q48">
        <v>79.598264939540684</v>
      </c>
      <c r="R48">
        <v>78.382860464890186</v>
      </c>
      <c r="S48">
        <v>77.305046337468212</v>
      </c>
      <c r="T48">
        <v>76.337052255571322</v>
      </c>
      <c r="U48">
        <v>75.473955244791782</v>
      </c>
      <c r="V48">
        <v>74.684881946127405</v>
      </c>
      <c r="W48">
        <v>73.958167256139063</v>
      </c>
      <c r="X48">
        <v>73.284709048925293</v>
      </c>
      <c r="Y48">
        <v>72.657221073673099</v>
      </c>
      <c r="Z48">
        <v>72.084423475249849</v>
      </c>
    </row>
    <row r="49" spans="4:26" x14ac:dyDescent="0.25">
      <c r="D49" t="s">
        <v>273</v>
      </c>
      <c r="E49" t="s">
        <v>262</v>
      </c>
      <c r="F49">
        <v>195.09998535247078</v>
      </c>
      <c r="G49">
        <v>179.40532062628705</v>
      </c>
      <c r="H49">
        <v>166.73587757221159</v>
      </c>
      <c r="I49">
        <v>155.45886901226692</v>
      </c>
      <c r="J49">
        <v>144.92458512926544</v>
      </c>
      <c r="K49">
        <v>134.90126483206683</v>
      </c>
      <c r="L49">
        <v>130.39845840274194</v>
      </c>
      <c r="M49">
        <v>127.29718021141512</v>
      </c>
      <c r="N49">
        <v>124.90157053128402</v>
      </c>
      <c r="O49">
        <v>122.98723247559943</v>
      </c>
      <c r="P49">
        <v>121.38128115638162</v>
      </c>
      <c r="Q49">
        <v>119.99812242168248</v>
      </c>
      <c r="R49">
        <v>118.78323235162198</v>
      </c>
      <c r="S49">
        <v>117.69975913222335</v>
      </c>
      <c r="T49">
        <v>116.74654277924137</v>
      </c>
      <c r="U49">
        <v>115.85464900457669</v>
      </c>
      <c r="V49">
        <v>115.05927287701577</v>
      </c>
      <c r="W49">
        <v>114.3245176699123</v>
      </c>
      <c r="X49">
        <v>113.61756507313568</v>
      </c>
      <c r="Y49">
        <v>112.97986622739536</v>
      </c>
      <c r="Z49">
        <v>112.38146109112769</v>
      </c>
    </row>
    <row r="50" spans="4:26" x14ac:dyDescent="0.25">
      <c r="D50" t="s">
        <v>274</v>
      </c>
      <c r="E50" t="s">
        <v>260</v>
      </c>
      <c r="F50">
        <v>93.785510097522092</v>
      </c>
      <c r="G50">
        <v>84.397824179452854</v>
      </c>
      <c r="H50">
        <v>78.977425570322495</v>
      </c>
      <c r="I50">
        <v>75.225413927819019</v>
      </c>
      <c r="J50">
        <v>72.380474911457227</v>
      </c>
      <c r="K50">
        <v>70.109677719796395</v>
      </c>
      <c r="L50">
        <v>65.491911295845753</v>
      </c>
      <c r="M50">
        <v>62.395988580856063</v>
      </c>
      <c r="N50">
        <v>60.098628219786477</v>
      </c>
      <c r="O50">
        <v>58.276981390735436</v>
      </c>
      <c r="P50">
        <v>56.783657928299284</v>
      </c>
      <c r="Q50">
        <v>55.526278282936815</v>
      </c>
      <c r="R50">
        <v>54.425334223140013</v>
      </c>
      <c r="S50">
        <v>53.464350088778886</v>
      </c>
      <c r="T50">
        <v>52.616047206615015</v>
      </c>
      <c r="U50">
        <v>51.850533267748538</v>
      </c>
      <c r="V50">
        <v>51.153411078784529</v>
      </c>
      <c r="W50">
        <v>50.513715885594017</v>
      </c>
      <c r="X50">
        <v>49.932595035976533</v>
      </c>
      <c r="Y50">
        <v>49.383638381271744</v>
      </c>
      <c r="Z50">
        <v>48.880708526945227</v>
      </c>
    </row>
    <row r="51" spans="4:26" x14ac:dyDescent="0.25">
      <c r="D51" t="s">
        <v>274</v>
      </c>
      <c r="E51" t="s">
        <v>261</v>
      </c>
      <c r="F51">
        <v>137.02195385033406</v>
      </c>
      <c r="G51">
        <v>121.89271310325452</v>
      </c>
      <c r="H51">
        <v>110.64754514548497</v>
      </c>
      <c r="I51">
        <v>106.68732256720295</v>
      </c>
      <c r="J51">
        <v>103.63918749249341</v>
      </c>
      <c r="K51">
        <v>101.19421473713042</v>
      </c>
      <c r="L51">
        <v>96.077844329125753</v>
      </c>
      <c r="M51">
        <v>92.583472864395958</v>
      </c>
      <c r="N51">
        <v>89.960166090450031</v>
      </c>
      <c r="O51">
        <v>87.858481862981264</v>
      </c>
      <c r="P51">
        <v>86.107885839450532</v>
      </c>
      <c r="Q51">
        <v>84.62663067365196</v>
      </c>
      <c r="R51">
        <v>83.333673046286478</v>
      </c>
      <c r="S51">
        <v>82.204026487963191</v>
      </c>
      <c r="T51">
        <v>81.17373581829257</v>
      </c>
      <c r="U51">
        <v>80.255318352264027</v>
      </c>
      <c r="V51">
        <v>79.415574823311076</v>
      </c>
      <c r="W51">
        <v>78.642114259307633</v>
      </c>
      <c r="X51">
        <v>77.925287347881223</v>
      </c>
      <c r="Y51">
        <v>77.273276703368083</v>
      </c>
      <c r="Z51">
        <v>76.647754950173962</v>
      </c>
    </row>
    <row r="52" spans="4:26" x14ac:dyDescent="0.25">
      <c r="D52" t="s">
        <v>274</v>
      </c>
      <c r="E52" t="s">
        <v>262</v>
      </c>
      <c r="F52">
        <v>207.32302490029801</v>
      </c>
      <c r="G52">
        <v>190.64371427457496</v>
      </c>
      <c r="H52">
        <v>177.21934286443548</v>
      </c>
      <c r="I52">
        <v>165.23503658347957</v>
      </c>
      <c r="J52">
        <v>154.0405946628847</v>
      </c>
      <c r="K52">
        <v>143.42166529588945</v>
      </c>
      <c r="L52">
        <v>138.63400165850891</v>
      </c>
      <c r="M52">
        <v>135.30693766847645</v>
      </c>
      <c r="N52">
        <v>132.78833258236563</v>
      </c>
      <c r="O52">
        <v>130.723822841664</v>
      </c>
      <c r="P52">
        <v>129.01597652258206</v>
      </c>
      <c r="Q52">
        <v>127.54484131948074</v>
      </c>
      <c r="R52">
        <v>126.27991555730328</v>
      </c>
      <c r="S52">
        <v>125.1269735914868</v>
      </c>
      <c r="T52">
        <v>124.08606286533256</v>
      </c>
      <c r="U52">
        <v>123.16369893067792</v>
      </c>
      <c r="V52">
        <v>122.31748492515531</v>
      </c>
      <c r="W52">
        <v>121.53572231991977</v>
      </c>
      <c r="X52">
        <v>120.78295568051726</v>
      </c>
      <c r="Y52">
        <v>120.10432214672042</v>
      </c>
      <c r="Z52">
        <v>119.46748101415466</v>
      </c>
    </row>
    <row r="53" spans="4:26" x14ac:dyDescent="0.25">
      <c r="D53" t="s">
        <v>275</v>
      </c>
      <c r="E53" t="s">
        <v>260</v>
      </c>
      <c r="F53">
        <v>129.61543378862604</v>
      </c>
      <c r="G53">
        <v>116.48132745040316</v>
      </c>
      <c r="H53">
        <v>108.85523112298453</v>
      </c>
      <c r="I53">
        <v>103.58980869118015</v>
      </c>
      <c r="J53">
        <v>99.608097589625771</v>
      </c>
      <c r="K53">
        <v>96.441533073373208</v>
      </c>
      <c r="L53">
        <v>89.960074975485597</v>
      </c>
      <c r="M53">
        <v>85.615190422704686</v>
      </c>
      <c r="N53">
        <v>82.395587468512772</v>
      </c>
      <c r="O53">
        <v>79.843637687058134</v>
      </c>
      <c r="P53">
        <v>77.756223815580995</v>
      </c>
      <c r="Q53">
        <v>75.984318324904606</v>
      </c>
      <c r="R53">
        <v>74.447499333970882</v>
      </c>
      <c r="S53">
        <v>73.092118242896134</v>
      </c>
      <c r="T53">
        <v>71.898739037508648</v>
      </c>
      <c r="U53">
        <v>70.821666006045533</v>
      </c>
      <c r="V53">
        <v>69.858141342495145</v>
      </c>
      <c r="W53">
        <v>68.957674316916595</v>
      </c>
      <c r="X53">
        <v>68.142836525120401</v>
      </c>
      <c r="Y53">
        <v>67.386663885326371</v>
      </c>
      <c r="Z53">
        <v>66.681438778113517</v>
      </c>
    </row>
    <row r="54" spans="4:26" x14ac:dyDescent="0.25">
      <c r="D54" t="s">
        <v>275</v>
      </c>
      <c r="E54" t="s">
        <v>261</v>
      </c>
      <c r="F54">
        <v>190.37637662806992</v>
      </c>
      <c r="G54">
        <v>169.09223813062374</v>
      </c>
      <c r="H54">
        <v>153.27410962047767</v>
      </c>
      <c r="I54">
        <v>147.69070045940933</v>
      </c>
      <c r="J54">
        <v>143.4354450550789</v>
      </c>
      <c r="K54">
        <v>139.96605741699815</v>
      </c>
      <c r="L54">
        <v>132.80895729447658</v>
      </c>
      <c r="M54">
        <v>127.92603210516241</v>
      </c>
      <c r="N54">
        <v>124.23793292607934</v>
      </c>
      <c r="O54">
        <v>121.28226170786991</v>
      </c>
      <c r="P54">
        <v>118.85115921238372</v>
      </c>
      <c r="Q54">
        <v>116.77237562321164</v>
      </c>
      <c r="R54">
        <v>114.95788630344292</v>
      </c>
      <c r="S54">
        <v>113.34869511419737</v>
      </c>
      <c r="T54">
        <v>111.9328695395901</v>
      </c>
      <c r="U54">
        <v>110.62067131415489</v>
      </c>
      <c r="V54">
        <v>109.44833134528214</v>
      </c>
      <c r="W54">
        <v>108.36894108732979</v>
      </c>
      <c r="X54">
        <v>107.36889163309684</v>
      </c>
      <c r="Y54">
        <v>106.43728874023006</v>
      </c>
      <c r="Z54">
        <v>105.59314082261604</v>
      </c>
    </row>
    <row r="55" spans="4:26" x14ac:dyDescent="0.25">
      <c r="D55" t="s">
        <v>275</v>
      </c>
      <c r="E55" t="s">
        <v>262</v>
      </c>
      <c r="F55">
        <v>289.39967166075428</v>
      </c>
      <c r="G55">
        <v>265.89104984688731</v>
      </c>
      <c r="H55">
        <v>246.97726499545257</v>
      </c>
      <c r="I55">
        <v>230.02967122176551</v>
      </c>
      <c r="J55">
        <v>214.25405196428778</v>
      </c>
      <c r="K55">
        <v>199.19351249639868</v>
      </c>
      <c r="L55">
        <v>192.49123861513951</v>
      </c>
      <c r="M55">
        <v>187.83616189758519</v>
      </c>
      <c r="N55">
        <v>184.32468998173746</v>
      </c>
      <c r="O55">
        <v>181.43896203081354</v>
      </c>
      <c r="P55">
        <v>179.06323062222714</v>
      </c>
      <c r="Q55">
        <v>176.9700390716734</v>
      </c>
      <c r="R55">
        <v>175.17670846332936</v>
      </c>
      <c r="S55">
        <v>173.57883544446727</v>
      </c>
      <c r="T55">
        <v>172.13774830946966</v>
      </c>
      <c r="U55">
        <v>170.82506691372492</v>
      </c>
      <c r="V55">
        <v>169.66626053324217</v>
      </c>
      <c r="W55">
        <v>168.55099041149177</v>
      </c>
      <c r="X55">
        <v>167.5133634851272</v>
      </c>
      <c r="Y55">
        <v>166.58888632905968</v>
      </c>
      <c r="Z55">
        <v>165.67702253598748</v>
      </c>
    </row>
    <row r="56" spans="4:26" x14ac:dyDescent="0.25">
      <c r="D56" t="s">
        <v>276</v>
      </c>
      <c r="E56" t="s">
        <v>260</v>
      </c>
      <c r="F56">
        <v>182.49593935841702</v>
      </c>
      <c r="G56">
        <v>163.90315366207531</v>
      </c>
      <c r="H56">
        <v>153.13453494904789</v>
      </c>
      <c r="I56">
        <v>145.64291811765909</v>
      </c>
      <c r="J56">
        <v>140.04072845245614</v>
      </c>
      <c r="K56">
        <v>135.52137180911791</v>
      </c>
      <c r="L56">
        <v>126.34936215209574</v>
      </c>
      <c r="M56">
        <v>120.20272815656313</v>
      </c>
      <c r="N56">
        <v>115.62003513791331</v>
      </c>
      <c r="O56">
        <v>112.02134212604955</v>
      </c>
      <c r="P56">
        <v>109.05211030086161</v>
      </c>
      <c r="Q56">
        <v>106.56530104986062</v>
      </c>
      <c r="R56">
        <v>104.37635067603762</v>
      </c>
      <c r="S56">
        <v>102.47840159643187</v>
      </c>
      <c r="T56">
        <v>100.78368637079184</v>
      </c>
      <c r="U56">
        <v>99.286281812651183</v>
      </c>
      <c r="V56">
        <v>97.892345891519824</v>
      </c>
      <c r="W56">
        <v>96.644357293971197</v>
      </c>
      <c r="X56">
        <v>95.461917320569412</v>
      </c>
      <c r="Y56">
        <v>94.393943986353662</v>
      </c>
      <c r="Z56">
        <v>93.398063526758563</v>
      </c>
    </row>
    <row r="57" spans="4:26" x14ac:dyDescent="0.25">
      <c r="D57" t="s">
        <v>276</v>
      </c>
      <c r="E57" t="s">
        <v>261</v>
      </c>
      <c r="F57">
        <v>268.57644585351574</v>
      </c>
      <c r="G57">
        <v>238.37825053459008</v>
      </c>
      <c r="H57">
        <v>215.96065708468083</v>
      </c>
      <c r="I57">
        <v>208.08791030695991</v>
      </c>
      <c r="J57">
        <v>202.05593218051595</v>
      </c>
      <c r="K57">
        <v>197.13734499432547</v>
      </c>
      <c r="L57">
        <v>186.99184046892773</v>
      </c>
      <c r="M57">
        <v>180.06777872069043</v>
      </c>
      <c r="N57">
        <v>174.89711647572321</v>
      </c>
      <c r="O57">
        <v>170.70181344989842</v>
      </c>
      <c r="P57">
        <v>167.26327726390707</v>
      </c>
      <c r="Q57">
        <v>164.32358535895554</v>
      </c>
      <c r="R57">
        <v>161.75815269051219</v>
      </c>
      <c r="S57">
        <v>159.48331984390862</v>
      </c>
      <c r="T57">
        <v>157.44042540787618</v>
      </c>
      <c r="U57">
        <v>155.64035811593101</v>
      </c>
      <c r="V57">
        <v>153.94306387103146</v>
      </c>
      <c r="W57">
        <v>152.43072559512737</v>
      </c>
      <c r="X57">
        <v>151.03038996134117</v>
      </c>
      <c r="Y57">
        <v>149.67533449688574</v>
      </c>
      <c r="Z57">
        <v>148.4564715167879</v>
      </c>
    </row>
    <row r="58" spans="4:26" x14ac:dyDescent="0.25">
      <c r="D58" t="s">
        <v>276</v>
      </c>
      <c r="E58" t="s">
        <v>262</v>
      </c>
      <c r="F58">
        <v>408.98658781081787</v>
      </c>
      <c r="G58">
        <v>375.66361065002712</v>
      </c>
      <c r="H58">
        <v>348.77531668457527</v>
      </c>
      <c r="I58">
        <v>324.79635752741154</v>
      </c>
      <c r="J58">
        <v>302.38232787036736</v>
      </c>
      <c r="K58">
        <v>281.08564429288754</v>
      </c>
      <c r="L58">
        <v>271.52552663634401</v>
      </c>
      <c r="M58">
        <v>264.96410270393181</v>
      </c>
      <c r="N58">
        <v>259.94840520171732</v>
      </c>
      <c r="O58">
        <v>255.89120863597702</v>
      </c>
      <c r="P58">
        <v>252.48518055435736</v>
      </c>
      <c r="Q58">
        <v>249.54956758599758</v>
      </c>
      <c r="R58">
        <v>247.05848310798348</v>
      </c>
      <c r="S58">
        <v>244.7548368075098</v>
      </c>
      <c r="T58">
        <v>242.76153382615757</v>
      </c>
      <c r="U58">
        <v>240.86245130122225</v>
      </c>
      <c r="V58">
        <v>239.20182987011384</v>
      </c>
      <c r="W58">
        <v>237.66887835988874</v>
      </c>
      <c r="X58">
        <v>236.16021004859903</v>
      </c>
      <c r="Y58">
        <v>234.83181352010217</v>
      </c>
      <c r="Z58">
        <v>233.58609590695542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5565-9904-48E9-BA63-19A074DBFFA7}">
  <dimension ref="A1:C15"/>
  <sheetViews>
    <sheetView tabSelected="1" workbookViewId="0">
      <selection activeCell="Q4" sqref="Q4"/>
    </sheetView>
  </sheetViews>
  <sheetFormatPr defaultRowHeight="15" x14ac:dyDescent="0.25"/>
  <sheetData>
    <row r="1" spans="1:3" x14ac:dyDescent="0.25">
      <c r="A1" t="s">
        <v>17</v>
      </c>
    </row>
    <row r="2" spans="1:3" x14ac:dyDescent="0.25">
      <c r="A2" t="s">
        <v>18</v>
      </c>
      <c r="C2" t="s">
        <v>19</v>
      </c>
    </row>
    <row r="3" spans="1:3" x14ac:dyDescent="0.25">
      <c r="C3" t="s">
        <v>20</v>
      </c>
    </row>
    <row r="4" spans="1:3" x14ac:dyDescent="0.25">
      <c r="C4" t="s">
        <v>21</v>
      </c>
    </row>
    <row r="5" spans="1:3" x14ac:dyDescent="0.25">
      <c r="C5" t="s">
        <v>22</v>
      </c>
    </row>
    <row r="6" spans="1:3" x14ac:dyDescent="0.25">
      <c r="C6" s="8" t="s">
        <v>280</v>
      </c>
    </row>
    <row r="7" spans="1:3" x14ac:dyDescent="0.25">
      <c r="C7" s="8" t="s">
        <v>279</v>
      </c>
    </row>
    <row r="9" spans="1:3" x14ac:dyDescent="0.25">
      <c r="A9" t="s">
        <v>278</v>
      </c>
    </row>
    <row r="10" spans="1:3" x14ac:dyDescent="0.25">
      <c r="B10" t="s">
        <v>23</v>
      </c>
    </row>
    <row r="11" spans="1:3" x14ac:dyDescent="0.25">
      <c r="B11" t="s">
        <v>24</v>
      </c>
    </row>
    <row r="13" spans="1:3" x14ac:dyDescent="0.25">
      <c r="B13" t="s">
        <v>25</v>
      </c>
    </row>
    <row r="14" spans="1:3" x14ac:dyDescent="0.25">
      <c r="B14" t="s">
        <v>26</v>
      </c>
    </row>
    <row r="15" spans="1:3" x14ac:dyDescent="0.25">
      <c r="B15" t="s">
        <v>27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Electricity</vt:lpstr>
      <vt:lpstr>Carbon Prices</vt:lpstr>
      <vt:lpstr>Carbon Pricing Sensitivity</vt:lpstr>
      <vt:lpstr>Sewater Cooling References</vt:lpstr>
      <vt:lpstr>Offshore Wind</vt:lpstr>
      <vt:lpstr>Discount rates - useful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CARLSON THOMAS JORDAN</dc:creator>
  <cp:lastModifiedBy>CARLSON THOMAS JORDAN</cp:lastModifiedBy>
  <dcterms:created xsi:type="dcterms:W3CDTF">2026-06-18T03:14:32Z</dcterms:created>
  <dcterms:modified xsi:type="dcterms:W3CDTF">2026-06-25T07:05:02Z</dcterms:modified>
</cp:coreProperties>
</file>